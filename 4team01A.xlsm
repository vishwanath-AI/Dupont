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shwa/Documents/doc/CSR MBA/MBA 640 managerial finance/"/>
    </mc:Choice>
  </mc:AlternateContent>
  <workbookProtection workbookPassword="EDC4" lockStructure="1"/>
  <bookViews>
    <workbookView xWindow="0" yWindow="460" windowWidth="17980" windowHeight="14100" tabRatio="174" firstSheet="1" activeTab="1"/>
  </bookViews>
  <sheets>
    <sheet name="a brief scenario description" sheetId="1" r:id="rId1"/>
    <sheet name="Three-scenario Comparison" sheetId="2" r:id="rId2"/>
    <sheet name="Dupont Tree" sheetId="3" state="hidden" r:id="rId3"/>
  </sheets>
  <externalReferences>
    <externalReference r:id="rId4"/>
  </externalReferences>
  <definedNames>
    <definedName name="A">'Three-scenario Comparison'!$142:$142</definedName>
    <definedName name="AccountsPayable">'Three-scenario Comparison'!$81:$81</definedName>
    <definedName name="AccountsPayableTurnover">'Three-scenario Comparison'!$162:$162</definedName>
    <definedName name="AccountsReceivable">'Three-scenario Comparison'!$71:$71</definedName>
    <definedName name="AccountsReceivableTurnover">'Three-scenario Comparison'!$158:$158</definedName>
    <definedName name="Accruals">'Three-scenario Comparison'!$82:$82</definedName>
    <definedName name="Addition.To.RE">'Three-scenario Comparison'!$63:$63</definedName>
    <definedName name="Additional.Div_Common">'Three-scenario Comparison'!$116:$116</definedName>
    <definedName name="Additional.Div_Prfd">'Three-scenario Comparison'!$117:$117</definedName>
    <definedName name="Additional.funds_Bonds">'Three-scenario Comparison'!$102:$102</definedName>
    <definedName name="Additional.funds_Equity">'Three-scenario Comparison'!$104:$104</definedName>
    <definedName name="Additional.funds_NP">'Three-scenario Comparison'!$101:$101</definedName>
    <definedName name="Additional.funds_Prfd">'Three-scenario Comparison'!$103:$103</definedName>
    <definedName name="Additional.Interest">'Three-scenario Comparison'!$114:$114</definedName>
    <definedName name="AdditionalShares">'Three-scenario Comparison'!$115:$115</definedName>
    <definedName name="AFN">'Three-scenario Comparison'!$99:$99</definedName>
    <definedName name="Alt.FCF.g">'Three-scenario Comparison'!$B$139</definedName>
    <definedName name="Alt.Sales.g">'Three-scenario Comparison'!$B$141</definedName>
    <definedName name="Alt.WACC">'Three-scenario Comparison'!$B$140</definedName>
    <definedName name="B">'Three-scenario Comparison'!$143:$143</definedName>
    <definedName name="Balance">'Three-scenario Comparison'!$97:$97</definedName>
    <definedName name="BASELINE">'Three-scenario Comparison'!$B$1</definedName>
    <definedName name="BEP">'Three-scenario Comparison'!$171:$171</definedName>
    <definedName name="BuyTreasuryStock">'Three-scenario Comparison'!$111:$111</definedName>
    <definedName name="BVPS">'Three-scenario Comparison'!$179:$179</definedName>
    <definedName name="Cash">'Three-scenario Comparison'!$69:$69</definedName>
    <definedName name="CashCycle">'Three-scenario Comparison'!$163:$163</definedName>
    <definedName name="CashFlows">'Three-scenario Comparison'!$127:$127</definedName>
    <definedName name="CashFlows.A">'Three-scenario Comparison'!$C$127:$G$127</definedName>
    <definedName name="CashFlows.B">'Three-scenario Comparison'!$I$127:$M$127</definedName>
    <definedName name="CashFlows.C">'Three-scenario Comparison'!$O$127:$S$127</definedName>
    <definedName name="COGS">'Three-scenario Comparison'!$50:$50</definedName>
    <definedName name="CommonEquity">'Three-scenario Comparison'!$93:$93</definedName>
    <definedName name="CommonSize">'Three-scenario Comparison'!$T:$AK</definedName>
    <definedName name="CommonStock">'Three-scenario Comparison'!$89:$89</definedName>
    <definedName name="ConstantGrowthRate.of.FCF">'Three-scenario Comparison'!$42:$42</definedName>
    <definedName name="CurrentAssets">'Three-scenario Comparison'!$74:$74</definedName>
    <definedName name="CurrentLiabilities">'Three-scenario Comparison'!$84:$84</definedName>
    <definedName name="CurrentRatio">'Three-scenario Comparison'!$152:$152</definedName>
    <definedName name="CurrentYear">'Three-scenario Comparison'!$A$1:$A$1</definedName>
    <definedName name="DebtRatio">'Three-scenario Comparison'!$166:$166</definedName>
    <definedName name="Depreciation">'Three-scenario Comparison'!$52:$52</definedName>
    <definedName name="DivGrowthRate">'Three-scenario Comparison'!$23:$23</definedName>
    <definedName name="Dividends_Common">'Three-scenario Comparison'!$62:$62</definedName>
    <definedName name="Dividends_Preferred">'Three-scenario Comparison'!$60:$60</definedName>
    <definedName name="DivRate.Prfd">'Three-scenario Comparison'!$22:$22</definedName>
    <definedName name="DPS">'Three-scenario Comparison'!$46:$46</definedName>
    <definedName name="DSO">'Three-scenario Comparison'!$159:$159</definedName>
    <definedName name="EBIT">'Three-scenario Comparison'!$54:$54</definedName>
    <definedName name="EBT">'Three-scenario Comparison'!$57:$57</definedName>
    <definedName name="EPS">'Three-scenario Comparison'!$64:$64</definedName>
    <definedName name="EstimatedStockPrice">'Three-scenario Comparison'!$136:$136</definedName>
    <definedName name="FAT">'Three-scenario Comparison'!$160:$160</definedName>
    <definedName name="FCF">'Three-scenario Comparison'!$123:$123</definedName>
    <definedName name="g">'Three-scenario Comparison'!$144:$144</definedName>
    <definedName name="Historical.g">'Three-scenario Comparison'!$B$5</definedName>
    <definedName name="HorizonValue">'Three-scenario Comparison'!$126:$126</definedName>
    <definedName name="Intangibles.OtherAssets">'Three-scenario Comparison'!$76:$76</definedName>
    <definedName name="Interest">'Three-scenario Comparison'!$55:$55</definedName>
    <definedName name="InterestRate_LT">'Three-scenario Comparison'!$20:$20</definedName>
    <definedName name="InterestRate_ST">'Three-scenario Comparison'!$19:$19</definedName>
    <definedName name="Inventories">'Three-scenario Comparison'!$72:$72</definedName>
    <definedName name="InventoryTurnover">'Three-scenario Comparison'!$157:$157</definedName>
    <definedName name="InventoryTurnover.times">'Three-scenario Comparison'!$156:$156</definedName>
    <definedName name="Investment.in.Op.Capital">'Three-scenario Comparison'!$122:$122</definedName>
    <definedName name="LastYearFigure">'Three-scenario Comparison'!XFD1048576</definedName>
    <definedName name="LongTermDebt">'Three-scenario Comparison'!$85:$85</definedName>
    <definedName name="LTInvestments">'Three-scenario Comparison'!$77:$77</definedName>
    <definedName name="MBRatio">'Three-scenario Comparison'!$178:$178</definedName>
    <definedName name="MVPS">'Three-scenario Comparison'!$137:$137</definedName>
    <definedName name="NetIncome">'Three-scenario Comparison'!$61:$61</definedName>
    <definedName name="NI.B4Prfd">'Three-scenario Comparison'!$59:$59</definedName>
    <definedName name="No.Of.Shares">'Three-scenario Comparison'!$45:$45</definedName>
    <definedName name="NonOperatingCapital">'Three-scenario Comparison'!$129:$129</definedName>
    <definedName name="NonOperatingExpenses">'Three-scenario Comparison'!$56:$56</definedName>
    <definedName name="NOPAT">'Three-scenario Comparison'!$120:$120</definedName>
    <definedName name="NotesPayable">'Three-scenario Comparison'!$83:$83</definedName>
    <definedName name="NPM">'Three-scenario Comparison'!$170:$170</definedName>
    <definedName name="NPPE">'Three-scenario Comparison'!$75:$75</definedName>
    <definedName name="OperatingCapital">'Three-scenario Comparison'!$121:$121</definedName>
    <definedName name="OperatingExpenses">'Three-scenario Comparison'!$51:$51</definedName>
    <definedName name="OtherCurrentAssets">'Three-scenario Comparison'!$73:$73</definedName>
    <definedName name="OtherLiab.related.to.Sales">'Three-scenario Comparison'!$86:$86</definedName>
    <definedName name="PayAdditionalDividend">'Three-scenario Comparison'!$112:$112</definedName>
    <definedName name="PayDownLTDebt">'Three-scenario Comparison'!$110:$110</definedName>
    <definedName name="PayDownNP">'Three-scenario Comparison'!$109:$109</definedName>
    <definedName name="PERatio">'Three-scenario Comparison'!$176:$176</definedName>
    <definedName name="Percent.of.AF_BuyTreasryStock">'Three-scenario Comparison'!$39:$39</definedName>
    <definedName name="Percent.of.AF_OtherNonOpAssets">'Three-scenario Comparison'!$36:$36</definedName>
    <definedName name="Percent.of.AF_PayDividend">'Three-scenario Comparison'!$40:$40</definedName>
    <definedName name="Percent.of.AF_PayDownLTDebt">'Three-scenario Comparison'!$38:$38</definedName>
    <definedName name="Percent.of.AF_PayDownNP">'Three-scenario Comparison'!$37:$37</definedName>
    <definedName name="Percent.of.AF_STInvestments">'Three-scenario Comparison'!$35:$35</definedName>
    <definedName name="Percent.of.funds_Bonds">'Three-scenario Comparison'!$26:$26</definedName>
    <definedName name="Percent.of.funds_Equity">'Three-scenario Comparison'!$28:$28</definedName>
    <definedName name="Percent.of.funds_NP">'Three-scenario Comparison'!$25:$25</definedName>
    <definedName name="Percent.of.funds_Prfd">'Three-scenario Comparison'!$27:$27</definedName>
    <definedName name="Percent.of.NFA_Depreciation">'Three-scenario Comparison'!$9:$9</definedName>
    <definedName name="Percent.of.sales_Accruals">'Three-scenario Comparison'!$17:$17</definedName>
    <definedName name="Percent.of.sales_AP">'Three-scenario Comparison'!$16:$16</definedName>
    <definedName name="Percent.of.sales_AR">'Three-scenario Comparison'!$11:$11</definedName>
    <definedName name="Percent.of.sales_Cash">'Three-scenario Comparison'!$10:$10</definedName>
    <definedName name="Percent.of.sales_COGS">'Three-scenario Comparison'!$6:$6</definedName>
    <definedName name="Percent.of.sales_Expenses">'Three-scenario Comparison'!$7:$7</definedName>
    <definedName name="Percent.of.sales_Inventory">'Three-scenario Comparison'!$12:$12</definedName>
    <definedName name="Percent.of.sales_NFA">'Three-scenario Comparison'!$14:$14</definedName>
    <definedName name="Percent.of.sales_NonOpExp">'Three-scenario Comparison'!$8:$8</definedName>
    <definedName name="Percent.of.sales_OA">'Three-scenario Comparison'!$15:$15</definedName>
    <definedName name="Percent.of.sales_OtherCA">'Three-scenario Comparison'!$13:$13</definedName>
    <definedName name="Percent.of.sales_OtherSponFunds">'Three-scenario Comparison'!$18:$18</definedName>
    <definedName name="PlugInToLTInvestments">'Three-scenario Comparison'!$108:$108</definedName>
    <definedName name="PlugInToSTInvestments">'Three-scenario Comparison'!$107:$107</definedName>
    <definedName name="PreferredStock">'Three-scenario Comparison'!$88:$88</definedName>
    <definedName name="PreviousYearFigure">'Three-scenario Comparison'!XFD1</definedName>
    <definedName name="Price.to.FCF.Ratio">'Three-scenario Comparison'!$41:$41</definedName>
    <definedName name="PriceToCF.Ratio">'Three-scenario Comparison'!$177:$177</definedName>
    <definedName name="QuickRatio">'Three-scenario Comparison'!$153:$153</definedName>
    <definedName name="RetainedEarnings">'Three-scenario Comparison'!$90:$90</definedName>
    <definedName name="ROA">'Three-scenario Comparison'!$172:$172</definedName>
    <definedName name="ROE">'Three-scenario Comparison'!$173:$173</definedName>
    <definedName name="Sales">'Three-scenario Comparison'!$49:$49</definedName>
    <definedName name="SalesGrowthRate">'Three-scenario Comparison'!$5:$5</definedName>
    <definedName name="SCENARIO.A">'Three-scenario Comparison'!$H$1</definedName>
    <definedName name="SCENARIO.B">'Three-scenario Comparison'!$N$1</definedName>
    <definedName name="SourceData">'Three-scenario Comparison'!$B:$S</definedName>
    <definedName name="STInvestments">'Three-scenario Comparison'!$70:$70</definedName>
    <definedName name="StockPrice">'Three-scenario Comparison'!$136:$136</definedName>
    <definedName name="TAT">'Three-scenario Comparison'!$161:$161</definedName>
    <definedName name="Taxes">'Three-scenario Comparison'!$58:$58</definedName>
    <definedName name="TaxRate">'Three-scenario Comparison'!$21:$21</definedName>
    <definedName name="ThisYearFigure">'Three-scenario Comparison'!A1048576</definedName>
    <definedName name="TIE">'Three-scenario Comparison'!$167:$167</definedName>
    <definedName name="TotalAssets">'Three-scenario Comparison'!$78:$78</definedName>
    <definedName name="TotalDebt">'Three-scenario Comparison'!$87:$87</definedName>
    <definedName name="TotalLiabilitiesAndEquity">'Three-scenario Comparison'!$94:$94</definedName>
    <definedName name="TotalOperatingExpense">'Three-scenario Comparison'!$53:$53</definedName>
    <definedName name="TreasuryStock">'Three-scenario Comparison'!$92:$92</definedName>
    <definedName name="Value.of.Operation">'Three-scenario Comparison'!$128:$128</definedName>
    <definedName name="Value.of.the.Firm">'Three-scenario Comparison'!$130:$130</definedName>
    <definedName name="Value.of.Total.Common.Equity">'Three-scenario Comparison'!$135:$135</definedName>
    <definedName name="WACC.A">'Three-scenario Comparison'!$B$43</definedName>
    <definedName name="WACC.B">'Three-scenario Comparison'!$H$43</definedName>
    <definedName name="WACC.C">'Three-scenario Comparison'!$N$43</definedName>
    <definedName name="Year">'Dupont Tree'!$K$3</definedName>
    <definedName name="Year1.A">'Three-scenario Comparison'!$C:$C</definedName>
    <definedName name="Year1.B">'Three-scenario Comparison'!$I:$I</definedName>
    <definedName name="Year1.C">'Three-scenario Comparison'!$O:$O</definedName>
    <definedName name="Year2.A">'Three-scenario Comparison'!$D:$D</definedName>
    <definedName name="Year2.B">'Three-scenario Comparison'!$J:$J</definedName>
    <definedName name="Year2.C">'Three-scenario Comparison'!$P:$P</definedName>
    <definedName name="Year3.A">'Three-scenario Comparison'!$E:$E</definedName>
    <definedName name="Year3.B">'Three-scenario Comparison'!$K:$K</definedName>
    <definedName name="Year3.C">'Three-scenario Comparison'!$Q:$Q</definedName>
    <definedName name="Year4.A">'Three-scenario Comparison'!$F:$F</definedName>
    <definedName name="Year4.B">'Three-scenario Comparison'!$L:$L</definedName>
    <definedName name="Year4.C">'Three-scenario Comparison'!$R:$R</definedName>
    <definedName name="Year5.A">'Three-scenario Comparison'!$G:$G</definedName>
    <definedName name="Year5.B">'Three-scenario Comparison'!$M:$M</definedName>
    <definedName name="Year5.C">'Three-scenario Comparison'!$S:$S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2" i="2" l="1"/>
  <c r="B58" i="2"/>
  <c r="B56" i="2"/>
  <c r="B55" i="2"/>
  <c r="B20" i="2"/>
  <c r="B19" i="2"/>
  <c r="B144" i="2"/>
  <c r="B146" i="2"/>
  <c r="N144" i="2"/>
  <c r="N146" i="2"/>
  <c r="H144" i="2"/>
  <c r="H146" i="2"/>
  <c r="B65" i="2"/>
  <c r="B46" i="2"/>
  <c r="AF3" i="2"/>
  <c r="AG3" i="2"/>
  <c r="AH3" i="2"/>
  <c r="AI3" i="2"/>
  <c r="AJ3" i="2"/>
  <c r="AK3" i="2"/>
  <c r="AF1" i="2"/>
  <c r="T46" i="2"/>
  <c r="Z3" i="2"/>
  <c r="AA3" i="2"/>
  <c r="AB3" i="2"/>
  <c r="AC3" i="2"/>
  <c r="AD3" i="2"/>
  <c r="AE3" i="2"/>
  <c r="Z1" i="2"/>
  <c r="T3" i="2"/>
  <c r="U3" i="2"/>
  <c r="V3" i="2"/>
  <c r="W3" i="2"/>
  <c r="X3" i="2"/>
  <c r="Y3" i="2"/>
  <c r="T1" i="2"/>
  <c r="O8" i="3"/>
  <c r="N89" i="2"/>
  <c r="N28" i="2"/>
  <c r="N90" i="2"/>
  <c r="AF90" i="2"/>
  <c r="N49" i="2"/>
  <c r="N50" i="2"/>
  <c r="N51" i="2"/>
  <c r="N75" i="2"/>
  <c r="N14" i="2"/>
  <c r="O14" i="2"/>
  <c r="N52" i="2"/>
  <c r="N55" i="2"/>
  <c r="N19" i="2"/>
  <c r="S19" i="2"/>
  <c r="E19" i="2"/>
  <c r="N25" i="2"/>
  <c r="O25" i="2"/>
  <c r="O101" i="2"/>
  <c r="O109" i="2"/>
  <c r="O107" i="2"/>
  <c r="C20" i="2"/>
  <c r="N26" i="2"/>
  <c r="P26" i="2"/>
  <c r="P102" i="2"/>
  <c r="O110" i="2"/>
  <c r="O108" i="2"/>
  <c r="N56" i="2"/>
  <c r="N8" i="2"/>
  <c r="O8" i="2"/>
  <c r="B54" i="2"/>
  <c r="B57" i="2"/>
  <c r="N60" i="2"/>
  <c r="N27" i="2"/>
  <c r="B22" i="2"/>
  <c r="N62" i="2"/>
  <c r="N23" i="2"/>
  <c r="Q23" i="2"/>
  <c r="O111" i="2"/>
  <c r="B137" i="2"/>
  <c r="O112" i="2"/>
  <c r="P25" i="2"/>
  <c r="P101" i="2"/>
  <c r="P109" i="2"/>
  <c r="P107" i="2"/>
  <c r="P110" i="2"/>
  <c r="P108" i="2"/>
  <c r="P111" i="2"/>
  <c r="P112" i="2"/>
  <c r="Q25" i="2"/>
  <c r="Q101" i="2"/>
  <c r="Q109" i="2"/>
  <c r="Q107" i="2"/>
  <c r="Q110" i="2"/>
  <c r="Q108" i="2"/>
  <c r="Q27" i="2"/>
  <c r="Q103" i="2"/>
  <c r="Q111" i="2"/>
  <c r="Q112" i="2"/>
  <c r="R25" i="2"/>
  <c r="R101" i="2"/>
  <c r="R109" i="2"/>
  <c r="R107" i="2"/>
  <c r="R110" i="2"/>
  <c r="R108" i="2"/>
  <c r="R111" i="2"/>
  <c r="R112" i="2"/>
  <c r="S109" i="2"/>
  <c r="S107" i="2"/>
  <c r="S110" i="2"/>
  <c r="S108" i="2"/>
  <c r="S111" i="2"/>
  <c r="S112" i="2"/>
  <c r="N91" i="2"/>
  <c r="N92" i="2"/>
  <c r="H89" i="2"/>
  <c r="H28" i="2"/>
  <c r="H90" i="2"/>
  <c r="H93" i="2"/>
  <c r="H49" i="2"/>
  <c r="H50" i="2"/>
  <c r="H51" i="2"/>
  <c r="H75" i="2"/>
  <c r="H52" i="2"/>
  <c r="Z52" i="2"/>
  <c r="H55" i="2"/>
  <c r="H25" i="2"/>
  <c r="J25" i="2"/>
  <c r="J101" i="2"/>
  <c r="I109" i="2"/>
  <c r="I107" i="2"/>
  <c r="H26" i="2"/>
  <c r="L26" i="2"/>
  <c r="L102" i="2"/>
  <c r="I110" i="2"/>
  <c r="I108" i="2"/>
  <c r="H56" i="2"/>
  <c r="H8" i="2"/>
  <c r="H60" i="2"/>
  <c r="H27" i="2"/>
  <c r="L27" i="2"/>
  <c r="L103" i="2"/>
  <c r="H62" i="2"/>
  <c r="H23" i="2"/>
  <c r="J23" i="2"/>
  <c r="I111" i="2"/>
  <c r="I112" i="2"/>
  <c r="J109" i="2"/>
  <c r="J107" i="2"/>
  <c r="J110" i="2"/>
  <c r="J108" i="2"/>
  <c r="J111" i="2"/>
  <c r="J112" i="2"/>
  <c r="K109" i="2"/>
  <c r="K107" i="2"/>
  <c r="K110" i="2"/>
  <c r="K108" i="2"/>
  <c r="K111" i="2"/>
  <c r="K112" i="2"/>
  <c r="L109" i="2"/>
  <c r="L107" i="2"/>
  <c r="L110" i="2"/>
  <c r="L108" i="2"/>
  <c r="L111" i="2"/>
  <c r="L112" i="2"/>
  <c r="M109" i="2"/>
  <c r="M107" i="2"/>
  <c r="M110" i="2"/>
  <c r="M108" i="2"/>
  <c r="M111" i="2"/>
  <c r="M112" i="2"/>
  <c r="H91" i="2"/>
  <c r="H92" i="2"/>
  <c r="C28" i="2"/>
  <c r="C104" i="2"/>
  <c r="C89" i="2"/>
  <c r="D28" i="2"/>
  <c r="D104" i="2"/>
  <c r="E28" i="2"/>
  <c r="E104" i="2"/>
  <c r="F28" i="2"/>
  <c r="F104" i="2"/>
  <c r="G28" i="2"/>
  <c r="G104" i="2"/>
  <c r="B6" i="2"/>
  <c r="C6" i="2"/>
  <c r="B7" i="2"/>
  <c r="B14" i="2"/>
  <c r="G14" i="2"/>
  <c r="B9" i="2"/>
  <c r="G9" i="2"/>
  <c r="C25" i="2"/>
  <c r="C101" i="2"/>
  <c r="C109" i="2"/>
  <c r="C107" i="2"/>
  <c r="C70" i="2"/>
  <c r="C26" i="2"/>
  <c r="C102" i="2"/>
  <c r="C110" i="2"/>
  <c r="C108" i="2"/>
  <c r="C77" i="2"/>
  <c r="B8" i="2"/>
  <c r="C27" i="2"/>
  <c r="C103" i="2"/>
  <c r="C88" i="2"/>
  <c r="C23" i="2"/>
  <c r="C111" i="2"/>
  <c r="C112" i="2"/>
  <c r="D25" i="2"/>
  <c r="D101" i="2"/>
  <c r="D109" i="2"/>
  <c r="D107" i="2"/>
  <c r="D26" i="2"/>
  <c r="D102" i="2"/>
  <c r="D110" i="2"/>
  <c r="D108" i="2"/>
  <c r="D27" i="2"/>
  <c r="D103" i="2"/>
  <c r="D23" i="2"/>
  <c r="D111" i="2"/>
  <c r="D112" i="2"/>
  <c r="E25" i="2"/>
  <c r="E101" i="2"/>
  <c r="E109" i="2"/>
  <c r="E107" i="2"/>
  <c r="E26" i="2"/>
  <c r="E102" i="2"/>
  <c r="E110" i="2"/>
  <c r="E108" i="2"/>
  <c r="E27" i="2"/>
  <c r="E103" i="2"/>
  <c r="E23" i="2"/>
  <c r="E111" i="2"/>
  <c r="E112" i="2"/>
  <c r="F6" i="2"/>
  <c r="F25" i="2"/>
  <c r="F101" i="2"/>
  <c r="F109" i="2"/>
  <c r="F107" i="2"/>
  <c r="F20" i="2"/>
  <c r="F110" i="2"/>
  <c r="F108" i="2"/>
  <c r="F26" i="2"/>
  <c r="F102" i="2"/>
  <c r="F27" i="2"/>
  <c r="F103" i="2"/>
  <c r="F23" i="2"/>
  <c r="F111" i="2"/>
  <c r="F112" i="2"/>
  <c r="G6" i="2"/>
  <c r="G25" i="2"/>
  <c r="G101" i="2"/>
  <c r="G109" i="2"/>
  <c r="G107" i="2"/>
  <c r="G20" i="2"/>
  <c r="G26" i="2"/>
  <c r="G102" i="2"/>
  <c r="G110" i="2"/>
  <c r="G108" i="2"/>
  <c r="G27" i="2"/>
  <c r="G103" i="2"/>
  <c r="G23" i="2"/>
  <c r="G111" i="2"/>
  <c r="G112" i="2"/>
  <c r="B93" i="2"/>
  <c r="K4" i="3"/>
  <c r="K3" i="3"/>
  <c r="O7" i="3"/>
  <c r="O6" i="3"/>
  <c r="O5" i="3"/>
  <c r="O4" i="3"/>
  <c r="O3" i="3"/>
  <c r="I91" i="2"/>
  <c r="J91" i="2"/>
  <c r="K91" i="2"/>
  <c r="L91" i="2"/>
  <c r="M91" i="2"/>
  <c r="C91" i="2"/>
  <c r="D91" i="2"/>
  <c r="E91" i="2"/>
  <c r="F91" i="2"/>
  <c r="G91" i="2"/>
  <c r="T91" i="2"/>
  <c r="N81" i="2"/>
  <c r="H81" i="2"/>
  <c r="B16" i="2"/>
  <c r="G16" i="2"/>
  <c r="B162" i="2"/>
  <c r="N45" i="2"/>
  <c r="H45" i="2"/>
  <c r="N71" i="2"/>
  <c r="H71" i="2"/>
  <c r="B11" i="2"/>
  <c r="C11" i="2"/>
  <c r="B159" i="2"/>
  <c r="N72" i="2"/>
  <c r="H72" i="2"/>
  <c r="H157" i="2"/>
  <c r="B12" i="2"/>
  <c r="E12" i="2"/>
  <c r="B157" i="2"/>
  <c r="N77" i="2"/>
  <c r="H77" i="2"/>
  <c r="I77" i="2"/>
  <c r="J77" i="2"/>
  <c r="T92" i="2"/>
  <c r="N86" i="2"/>
  <c r="N18" i="2"/>
  <c r="R18" i="2"/>
  <c r="H86" i="2"/>
  <c r="B18" i="2"/>
  <c r="C18" i="2"/>
  <c r="T86" i="2"/>
  <c r="N73" i="2"/>
  <c r="H73" i="2"/>
  <c r="B13" i="2"/>
  <c r="G13" i="2"/>
  <c r="T73" i="2"/>
  <c r="N70" i="2"/>
  <c r="O70" i="2"/>
  <c r="H70" i="2"/>
  <c r="I70" i="2"/>
  <c r="J70" i="2"/>
  <c r="K70" i="2"/>
  <c r="L70" i="2"/>
  <c r="M70" i="2"/>
  <c r="T70" i="2"/>
  <c r="H36" i="2"/>
  <c r="K36" i="2"/>
  <c r="N36" i="2"/>
  <c r="P36" i="2"/>
  <c r="C36" i="2"/>
  <c r="D36" i="2"/>
  <c r="E36" i="2"/>
  <c r="F36" i="2"/>
  <c r="G36" i="2"/>
  <c r="N58" i="2"/>
  <c r="AF58" i="2"/>
  <c r="N88" i="2"/>
  <c r="AF88" i="2"/>
  <c r="N83" i="2"/>
  <c r="N85" i="2"/>
  <c r="H58" i="2"/>
  <c r="Z58" i="2"/>
  <c r="H88" i="2"/>
  <c r="Z88" i="2"/>
  <c r="H83" i="2"/>
  <c r="H85" i="2"/>
  <c r="B134" i="2"/>
  <c r="N44" i="2"/>
  <c r="N137" i="2"/>
  <c r="N41" i="2"/>
  <c r="N69" i="2"/>
  <c r="N10" i="2"/>
  <c r="N82" i="2"/>
  <c r="H44" i="2"/>
  <c r="H137" i="2"/>
  <c r="H41" i="2"/>
  <c r="H69" i="2"/>
  <c r="H82" i="2"/>
  <c r="T54" i="2"/>
  <c r="B74" i="2"/>
  <c r="T74" i="2"/>
  <c r="B84" i="2"/>
  <c r="T84" i="2"/>
  <c r="B10" i="2"/>
  <c r="E10" i="2"/>
  <c r="B17" i="2"/>
  <c r="F17" i="2"/>
  <c r="N76" i="2"/>
  <c r="H76" i="2"/>
  <c r="B167" i="2"/>
  <c r="B15" i="2"/>
  <c r="E15" i="2"/>
  <c r="B158" i="2"/>
  <c r="B156" i="2"/>
  <c r="AF49" i="2"/>
  <c r="AF55" i="2"/>
  <c r="AF50" i="2"/>
  <c r="T49" i="2"/>
  <c r="T58" i="2"/>
  <c r="T56" i="2"/>
  <c r="T55" i="2"/>
  <c r="B53" i="2"/>
  <c r="T53" i="2"/>
  <c r="T50" i="2"/>
  <c r="B6" i="3"/>
  <c r="B5" i="3"/>
  <c r="B4" i="3"/>
  <c r="A1" i="3"/>
  <c r="G15" i="2"/>
  <c r="N150" i="2"/>
  <c r="O150" i="2"/>
  <c r="P150" i="2"/>
  <c r="Q150" i="2"/>
  <c r="R150" i="2"/>
  <c r="S150" i="2"/>
  <c r="H150" i="2"/>
  <c r="I150" i="2"/>
  <c r="J150" i="2"/>
  <c r="K150" i="2"/>
  <c r="L150" i="2"/>
  <c r="M150" i="2"/>
  <c r="B150" i="2"/>
  <c r="C150" i="2"/>
  <c r="D150" i="2"/>
  <c r="E150" i="2"/>
  <c r="F150" i="2"/>
  <c r="G150" i="2"/>
  <c r="B121" i="2"/>
  <c r="B143" i="2"/>
  <c r="B129" i="2"/>
  <c r="T90" i="2"/>
  <c r="T89" i="2"/>
  <c r="T88" i="2"/>
  <c r="T85" i="2"/>
  <c r="T83" i="2"/>
  <c r="AF82" i="2"/>
  <c r="T82" i="2"/>
  <c r="T81" i="2"/>
  <c r="T77" i="2"/>
  <c r="T76" i="2"/>
  <c r="T75" i="2"/>
  <c r="T72" i="2"/>
  <c r="T71" i="2"/>
  <c r="T69" i="2"/>
  <c r="AF62" i="2"/>
  <c r="T62" i="2"/>
  <c r="AF60" i="2"/>
  <c r="T60" i="2"/>
  <c r="T52" i="2"/>
  <c r="T51" i="2"/>
  <c r="AF46" i="2"/>
  <c r="Z46" i="2"/>
  <c r="N40" i="2"/>
  <c r="H40" i="2"/>
  <c r="G40" i="2"/>
  <c r="F40" i="2"/>
  <c r="E40" i="2"/>
  <c r="D40" i="2"/>
  <c r="C40" i="2"/>
  <c r="N39" i="2"/>
  <c r="S39" i="2"/>
  <c r="H39" i="2"/>
  <c r="L39" i="2"/>
  <c r="M39" i="2"/>
  <c r="G39" i="2"/>
  <c r="F39" i="2"/>
  <c r="E39" i="2"/>
  <c r="D39" i="2"/>
  <c r="C39" i="2"/>
  <c r="N38" i="2"/>
  <c r="R38" i="2"/>
  <c r="S38" i="2"/>
  <c r="H38" i="2"/>
  <c r="G38" i="2"/>
  <c r="F38" i="2"/>
  <c r="E38" i="2"/>
  <c r="D38" i="2"/>
  <c r="C38" i="2"/>
  <c r="N37" i="2"/>
  <c r="R37" i="2"/>
  <c r="H37" i="2"/>
  <c r="G37" i="2"/>
  <c r="F37" i="2"/>
  <c r="E37" i="2"/>
  <c r="D37" i="2"/>
  <c r="C37" i="2"/>
  <c r="N35" i="2"/>
  <c r="S35" i="2"/>
  <c r="H35" i="2"/>
  <c r="J35" i="2"/>
  <c r="G35" i="2"/>
  <c r="F35" i="2"/>
  <c r="E35" i="2"/>
  <c r="D35" i="2"/>
  <c r="C35" i="2"/>
  <c r="N3" i="2"/>
  <c r="O3" i="2"/>
  <c r="P3" i="2"/>
  <c r="Q3" i="2"/>
  <c r="R3" i="2"/>
  <c r="S3" i="2"/>
  <c r="H3" i="2"/>
  <c r="I3" i="2"/>
  <c r="J3" i="2"/>
  <c r="K3" i="2"/>
  <c r="L3" i="2"/>
  <c r="M3" i="2"/>
  <c r="B3" i="2"/>
  <c r="C3" i="2"/>
  <c r="D3" i="2"/>
  <c r="E3" i="2"/>
  <c r="F3" i="2"/>
  <c r="G3" i="2"/>
  <c r="K39" i="2"/>
  <c r="C12" i="2"/>
  <c r="D6" i="2"/>
  <c r="N17" i="2"/>
  <c r="R17" i="2"/>
  <c r="M36" i="2"/>
  <c r="M25" i="2"/>
  <c r="M101" i="2"/>
  <c r="O28" i="2"/>
  <c r="O104" i="2"/>
  <c r="Q28" i="2"/>
  <c r="Q104" i="2"/>
  <c r="Q115" i="2"/>
  <c r="Q116" i="2"/>
  <c r="N20" i="2"/>
  <c r="D20" i="2"/>
  <c r="O38" i="2"/>
  <c r="Q38" i="2"/>
  <c r="D18" i="2"/>
  <c r="AF86" i="2"/>
  <c r="N142" i="2"/>
  <c r="F13" i="2"/>
  <c r="C5" i="2"/>
  <c r="C144" i="2"/>
  <c r="C146" i="2"/>
  <c r="P38" i="2"/>
  <c r="J40" i="2"/>
  <c r="P40" i="2"/>
  <c r="O17" i="2"/>
  <c r="Q17" i="2"/>
  <c r="O39" i="2"/>
  <c r="I39" i="2"/>
  <c r="J39" i="2"/>
  <c r="P39" i="2"/>
  <c r="O36" i="2"/>
  <c r="R39" i="2"/>
  <c r="Q39" i="2"/>
  <c r="E20" i="2"/>
  <c r="H20" i="2"/>
  <c r="L20" i="2"/>
  <c r="D19" i="2"/>
  <c r="C19" i="2"/>
  <c r="H19" i="2"/>
  <c r="L19" i="2"/>
  <c r="F19" i="2"/>
  <c r="G19" i="2"/>
  <c r="H7" i="2"/>
  <c r="K7" i="2"/>
  <c r="AF91" i="2"/>
  <c r="M38" i="2"/>
  <c r="I38" i="2"/>
  <c r="L38" i="2"/>
  <c r="K38" i="2"/>
  <c r="J38" i="2"/>
  <c r="E8" i="2"/>
  <c r="F9" i="2"/>
  <c r="O37" i="2"/>
  <c r="G17" i="2"/>
  <c r="B179" i="2"/>
  <c r="B178" i="2"/>
  <c r="S27" i="2"/>
  <c r="S103" i="2"/>
  <c r="O27" i="2"/>
  <c r="O103" i="2"/>
  <c r="R27" i="2"/>
  <c r="R103" i="2"/>
  <c r="P27" i="2"/>
  <c r="P103" i="2"/>
  <c r="Z49" i="2"/>
  <c r="AF89" i="2"/>
  <c r="S23" i="2"/>
  <c r="F115" i="2"/>
  <c r="F116" i="2"/>
  <c r="K25" i="2"/>
  <c r="K101" i="2"/>
  <c r="S25" i="2"/>
  <c r="S101" i="2"/>
  <c r="I25" i="2"/>
  <c r="I101" i="2"/>
  <c r="C92" i="2"/>
  <c r="D92" i="2"/>
  <c r="E92" i="2"/>
  <c r="F92" i="2"/>
  <c r="G92" i="2"/>
  <c r="L25" i="2"/>
  <c r="L101" i="2"/>
  <c r="L114" i="2"/>
  <c r="O115" i="2"/>
  <c r="O45" i="2"/>
  <c r="O23" i="2"/>
  <c r="R23" i="2"/>
  <c r="P23" i="2"/>
  <c r="O5" i="2"/>
  <c r="O144" i="2"/>
  <c r="O146" i="2"/>
  <c r="Z90" i="2"/>
  <c r="O19" i="2"/>
  <c r="Q19" i="2"/>
  <c r="B87" i="2"/>
  <c r="T87" i="2"/>
  <c r="H162" i="2"/>
  <c r="C17" i="2"/>
  <c r="N84" i="2"/>
  <c r="N87" i="2"/>
  <c r="AF87" i="2"/>
  <c r="N162" i="2"/>
  <c r="C9" i="2"/>
  <c r="E9" i="2"/>
  <c r="D9" i="2"/>
  <c r="H156" i="2"/>
  <c r="E13" i="2"/>
  <c r="B153" i="2"/>
  <c r="D11" i="2"/>
  <c r="K19" i="2"/>
  <c r="B152" i="2"/>
  <c r="C13" i="2"/>
  <c r="D13" i="2"/>
  <c r="H121" i="2"/>
  <c r="H143" i="2"/>
  <c r="D70" i="2"/>
  <c r="E70" i="2"/>
  <c r="F70" i="2"/>
  <c r="R10" i="2"/>
  <c r="O10" i="2"/>
  <c r="N121" i="2"/>
  <c r="N143" i="2"/>
  <c r="N145" i="2"/>
  <c r="AF69" i="2"/>
  <c r="AF70" i="2"/>
  <c r="B78" i="2"/>
  <c r="B161" i="2"/>
  <c r="F12" i="2"/>
  <c r="J20" i="2"/>
  <c r="R19" i="2"/>
  <c r="E11" i="2"/>
  <c r="H12" i="2"/>
  <c r="I12" i="2"/>
  <c r="J19" i="2"/>
  <c r="P19" i="2"/>
  <c r="M7" i="2"/>
  <c r="D17" i="2"/>
  <c r="F11" i="2"/>
  <c r="P18" i="2"/>
  <c r="F15" i="2"/>
  <c r="D12" i="2"/>
  <c r="E6" i="2"/>
  <c r="G12" i="2"/>
  <c r="N6" i="2"/>
  <c r="E17" i="2"/>
  <c r="Z75" i="2"/>
  <c r="G10" i="2"/>
  <c r="G11" i="2"/>
  <c r="F18" i="2"/>
  <c r="E18" i="2"/>
  <c r="C15" i="2"/>
  <c r="H10" i="2"/>
  <c r="K10" i="2"/>
  <c r="H13" i="2"/>
  <c r="J13" i="2"/>
  <c r="H18" i="2"/>
  <c r="J18" i="2"/>
  <c r="N156" i="2"/>
  <c r="M8" i="2"/>
  <c r="I8" i="2"/>
  <c r="K8" i="2"/>
  <c r="J8" i="2"/>
  <c r="L8" i="2"/>
  <c r="K12" i="2"/>
  <c r="O92" i="2"/>
  <c r="Z50" i="2"/>
  <c r="Z72" i="2"/>
  <c r="Z62" i="2"/>
  <c r="J129" i="2"/>
  <c r="Z81" i="2"/>
  <c r="Z56" i="2"/>
  <c r="I7" i="2"/>
  <c r="S6" i="2"/>
  <c r="Z91" i="2"/>
  <c r="H129" i="2"/>
  <c r="Q37" i="2"/>
  <c r="AF92" i="2"/>
  <c r="Z51" i="2"/>
  <c r="D10" i="2"/>
  <c r="L23" i="2"/>
  <c r="P37" i="2"/>
  <c r="O18" i="2"/>
  <c r="S36" i="2"/>
  <c r="N159" i="2"/>
  <c r="Z69" i="2"/>
  <c r="AF56" i="2"/>
  <c r="D88" i="2"/>
  <c r="E88" i="2"/>
  <c r="F88" i="2"/>
  <c r="C85" i="2"/>
  <c r="N7" i="2"/>
  <c r="S7" i="2"/>
  <c r="Z77" i="2"/>
  <c r="F10" i="2"/>
  <c r="K23" i="2"/>
  <c r="C10" i="2"/>
  <c r="Q36" i="2"/>
  <c r="Z89" i="2"/>
  <c r="J7" i="2"/>
  <c r="I129" i="2"/>
  <c r="D5" i="2"/>
  <c r="E5" i="2"/>
  <c r="S37" i="2"/>
  <c r="H9" i="2"/>
  <c r="M9" i="2"/>
  <c r="H53" i="2"/>
  <c r="Z53" i="2"/>
  <c r="C115" i="2"/>
  <c r="C49" i="2"/>
  <c r="U91" i="2"/>
  <c r="I23" i="2"/>
  <c r="M23" i="2"/>
  <c r="R36" i="2"/>
  <c r="AF75" i="2"/>
  <c r="Z83" i="2"/>
  <c r="D89" i="2"/>
  <c r="E89" i="2"/>
  <c r="F89" i="2"/>
  <c r="Z55" i="2"/>
  <c r="D114" i="2"/>
  <c r="N13" i="2"/>
  <c r="AF73" i="2"/>
  <c r="O116" i="2"/>
  <c r="O49" i="2"/>
  <c r="N54" i="2"/>
  <c r="P8" i="2"/>
  <c r="P70" i="2"/>
  <c r="K77" i="2"/>
  <c r="L77" i="2"/>
  <c r="K5" i="2"/>
  <c r="K144" i="2"/>
  <c r="K146" i="2"/>
  <c r="F5" i="2"/>
  <c r="L5" i="2"/>
  <c r="L144" i="2"/>
  <c r="L146" i="2"/>
  <c r="L37" i="2"/>
  <c r="K37" i="2"/>
  <c r="J37" i="2"/>
  <c r="M37" i="2"/>
  <c r="I37" i="2"/>
  <c r="H15" i="2"/>
  <c r="K15" i="2"/>
  <c r="Z76" i="2"/>
  <c r="AF77" i="2"/>
  <c r="N129" i="2"/>
  <c r="N158" i="2"/>
  <c r="N11" i="2"/>
  <c r="AF71" i="2"/>
  <c r="D16" i="2"/>
  <c r="E16" i="2"/>
  <c r="F16" i="2"/>
  <c r="C16" i="2"/>
  <c r="C129" i="2"/>
  <c r="H6" i="2"/>
  <c r="H54" i="2"/>
  <c r="S14" i="2"/>
  <c r="Q14" i="2"/>
  <c r="R14" i="2"/>
  <c r="I35" i="2"/>
  <c r="L35" i="2"/>
  <c r="M35" i="2"/>
  <c r="K35" i="2"/>
  <c r="N74" i="2"/>
  <c r="N78" i="2"/>
  <c r="N166" i="2"/>
  <c r="Z93" i="2"/>
  <c r="H179" i="2"/>
  <c r="H178" i="2"/>
  <c r="R40" i="2"/>
  <c r="Q40" i="2"/>
  <c r="S40" i="2"/>
  <c r="O40" i="2"/>
  <c r="D77" i="2"/>
  <c r="E77" i="2"/>
  <c r="F77" i="2"/>
  <c r="G77" i="2"/>
  <c r="S8" i="2"/>
  <c r="R8" i="2"/>
  <c r="Q8" i="2"/>
  <c r="M20" i="2"/>
  <c r="K20" i="2"/>
  <c r="I20" i="2"/>
  <c r="N134" i="2"/>
  <c r="O83" i="2"/>
  <c r="AF83" i="2"/>
  <c r="J27" i="2"/>
  <c r="J103" i="2"/>
  <c r="K27" i="2"/>
  <c r="K103" i="2"/>
  <c r="M28" i="2"/>
  <c r="M104" i="2"/>
  <c r="M115" i="2"/>
  <c r="M116" i="2"/>
  <c r="K28" i="2"/>
  <c r="K104" i="2"/>
  <c r="K115" i="2"/>
  <c r="K116" i="2"/>
  <c r="J28" i="2"/>
  <c r="J104" i="2"/>
  <c r="J115" i="2"/>
  <c r="J116" i="2"/>
  <c r="I28" i="2"/>
  <c r="I104" i="2"/>
  <c r="I92" i="2"/>
  <c r="L28" i="2"/>
  <c r="L104" i="2"/>
  <c r="L115" i="2"/>
  <c r="L116" i="2"/>
  <c r="P14" i="2"/>
  <c r="L7" i="2"/>
  <c r="P35" i="2"/>
  <c r="D15" i="2"/>
  <c r="B163" i="2"/>
  <c r="G115" i="2"/>
  <c r="G116" i="2"/>
  <c r="I5" i="2"/>
  <c r="I144" i="2"/>
  <c r="I146" i="2"/>
  <c r="C83" i="2"/>
  <c r="E115" i="2"/>
  <c r="E116" i="2"/>
  <c r="C114" i="2"/>
  <c r="C55" i="2"/>
  <c r="O35" i="2"/>
  <c r="O77" i="2"/>
  <c r="O129" i="2"/>
  <c r="O89" i="2"/>
  <c r="G5" i="2"/>
  <c r="N46" i="2"/>
  <c r="N65" i="2"/>
  <c r="H46" i="2"/>
  <c r="H65" i="2"/>
  <c r="E144" i="2"/>
  <c r="E146" i="2"/>
  <c r="Q5" i="2"/>
  <c r="Q144" i="2"/>
  <c r="Q146" i="2"/>
  <c r="M6" i="2"/>
  <c r="K6" i="2"/>
  <c r="I6" i="2"/>
  <c r="L6" i="2"/>
  <c r="J6" i="2"/>
  <c r="D144" i="2"/>
  <c r="D146" i="2"/>
  <c r="P5" i="2"/>
  <c r="J5" i="2"/>
  <c r="J144" i="2"/>
  <c r="J146" i="2"/>
  <c r="R20" i="2"/>
  <c r="P20" i="2"/>
  <c r="O20" i="2"/>
  <c r="S20" i="2"/>
  <c r="Q20" i="2"/>
  <c r="J15" i="2"/>
  <c r="H29" i="2"/>
  <c r="H134" i="2"/>
  <c r="H30" i="2"/>
  <c r="H84" i="2"/>
  <c r="H31" i="2"/>
  <c r="I83" i="2"/>
  <c r="H32" i="2"/>
  <c r="H11" i="2"/>
  <c r="Z71" i="2"/>
  <c r="H159" i="2"/>
  <c r="H163" i="2"/>
  <c r="H158" i="2"/>
  <c r="B30" i="2"/>
  <c r="B29" i="2"/>
  <c r="B31" i="2"/>
  <c r="T93" i="2"/>
  <c r="B32" i="2"/>
  <c r="C8" i="2"/>
  <c r="D8" i="2"/>
  <c r="G8" i="2"/>
  <c r="F8" i="2"/>
  <c r="D7" i="2"/>
  <c r="C7" i="2"/>
  <c r="E7" i="2"/>
  <c r="F7" i="2"/>
  <c r="G7" i="2"/>
  <c r="O88" i="2"/>
  <c r="I115" i="2"/>
  <c r="I89" i="2"/>
  <c r="D14" i="2"/>
  <c r="F14" i="2"/>
  <c r="C14" i="2"/>
  <c r="E14" i="2"/>
  <c r="O91" i="2"/>
  <c r="N93" i="2"/>
  <c r="F114" i="2"/>
  <c r="N9" i="2"/>
  <c r="AF52" i="2"/>
  <c r="P7" i="2"/>
  <c r="Q7" i="2"/>
  <c r="G114" i="2"/>
  <c r="Q10" i="2"/>
  <c r="P10" i="2"/>
  <c r="S10" i="2"/>
  <c r="G22" i="2"/>
  <c r="G117" i="2"/>
  <c r="H22" i="2"/>
  <c r="F22" i="2"/>
  <c r="F117" i="2"/>
  <c r="N22" i="2"/>
  <c r="C22" i="2"/>
  <c r="C117" i="2"/>
  <c r="C60" i="2"/>
  <c r="D22" i="2"/>
  <c r="D117" i="2"/>
  <c r="E22" i="2"/>
  <c r="E117" i="2"/>
  <c r="M40" i="2"/>
  <c r="K40" i="2"/>
  <c r="L40" i="2"/>
  <c r="AF85" i="2"/>
  <c r="L36" i="2"/>
  <c r="J36" i="2"/>
  <c r="Q18" i="2"/>
  <c r="S18" i="2"/>
  <c r="J26" i="2"/>
  <c r="J102" i="2"/>
  <c r="K26" i="2"/>
  <c r="K102" i="2"/>
  <c r="M26" i="2"/>
  <c r="M102" i="2"/>
  <c r="Z86" i="2"/>
  <c r="Z60" i="2"/>
  <c r="Z85" i="2"/>
  <c r="H17" i="2"/>
  <c r="Z70" i="2"/>
  <c r="Z73" i="2"/>
  <c r="I49" i="2"/>
  <c r="Z82" i="2"/>
  <c r="Z92" i="2"/>
  <c r="H14" i="2"/>
  <c r="B59" i="2"/>
  <c r="B21" i="2"/>
  <c r="T57" i="2"/>
  <c r="I19" i="2"/>
  <c r="M19" i="2"/>
  <c r="I40" i="2"/>
  <c r="H74" i="2"/>
  <c r="I36" i="2"/>
  <c r="N12" i="2"/>
  <c r="N157" i="2"/>
  <c r="AF72" i="2"/>
  <c r="I26" i="2"/>
  <c r="I102" i="2"/>
  <c r="I85" i="2"/>
  <c r="O26" i="2"/>
  <c r="O102" i="2"/>
  <c r="O85" i="2"/>
  <c r="Q26" i="2"/>
  <c r="Q102" i="2"/>
  <c r="R26" i="2"/>
  <c r="R102" i="2"/>
  <c r="S26" i="2"/>
  <c r="S102" i="2"/>
  <c r="E114" i="2"/>
  <c r="AF51" i="2"/>
  <c r="N53" i="2"/>
  <c r="AF53" i="2"/>
  <c r="S17" i="2"/>
  <c r="P17" i="2"/>
  <c r="N15" i="2"/>
  <c r="AF76" i="2"/>
  <c r="G18" i="2"/>
  <c r="H16" i="2"/>
  <c r="I27" i="2"/>
  <c r="I103" i="2"/>
  <c r="M27" i="2"/>
  <c r="M103" i="2"/>
  <c r="R35" i="2"/>
  <c r="Q35" i="2"/>
  <c r="AF81" i="2"/>
  <c r="N16" i="2"/>
  <c r="D115" i="2"/>
  <c r="D116" i="2"/>
  <c r="P28" i="2"/>
  <c r="P104" i="2"/>
  <c r="S28" i="2"/>
  <c r="S104" i="2"/>
  <c r="S115" i="2"/>
  <c r="S116" i="2"/>
  <c r="R28" i="2"/>
  <c r="R104" i="2"/>
  <c r="R115" i="2"/>
  <c r="R116" i="2"/>
  <c r="D129" i="2"/>
  <c r="J92" i="2"/>
  <c r="K92" i="2"/>
  <c r="L92" i="2"/>
  <c r="M92" i="2"/>
  <c r="O62" i="2"/>
  <c r="O65" i="2"/>
  <c r="F144" i="2"/>
  <c r="F146" i="2"/>
  <c r="R5" i="2"/>
  <c r="R144" i="2"/>
  <c r="R146" i="2"/>
  <c r="K18" i="2"/>
  <c r="B94" i="2"/>
  <c r="T94" i="2"/>
  <c r="M18" i="2"/>
  <c r="AF84" i="2"/>
  <c r="L9" i="2"/>
  <c r="I9" i="2"/>
  <c r="K9" i="2"/>
  <c r="J9" i="2"/>
  <c r="E129" i="2"/>
  <c r="N163" i="2"/>
  <c r="I13" i="2"/>
  <c r="I73" i="2"/>
  <c r="AA73" i="2"/>
  <c r="M13" i="2"/>
  <c r="J12" i="2"/>
  <c r="L12" i="2"/>
  <c r="M10" i="2"/>
  <c r="B171" i="2"/>
  <c r="J10" i="2"/>
  <c r="T78" i="2"/>
  <c r="B166" i="2"/>
  <c r="B160" i="2"/>
  <c r="M12" i="2"/>
  <c r="L10" i="2"/>
  <c r="I10" i="2"/>
  <c r="K13" i="2"/>
  <c r="P114" i="2"/>
  <c r="J114" i="2"/>
  <c r="O50" i="2"/>
  <c r="AG50" i="2"/>
  <c r="U83" i="2"/>
  <c r="C50" i="2"/>
  <c r="U50" i="2"/>
  <c r="L18" i="2"/>
  <c r="O82" i="2"/>
  <c r="AG82" i="2"/>
  <c r="I18" i="2"/>
  <c r="L13" i="2"/>
  <c r="U85" i="2"/>
  <c r="O6" i="2"/>
  <c r="Q6" i="2"/>
  <c r="R6" i="2"/>
  <c r="P6" i="2"/>
  <c r="U49" i="2"/>
  <c r="U88" i="2"/>
  <c r="C76" i="2"/>
  <c r="U76" i="2"/>
  <c r="U70" i="2"/>
  <c r="C71" i="2"/>
  <c r="C158" i="2"/>
  <c r="M114" i="2"/>
  <c r="K114" i="2"/>
  <c r="C51" i="2"/>
  <c r="U51" i="2"/>
  <c r="D49" i="2"/>
  <c r="V70" i="2"/>
  <c r="AG89" i="2"/>
  <c r="U55" i="2"/>
  <c r="D85" i="2"/>
  <c r="E85" i="2"/>
  <c r="F85" i="2"/>
  <c r="G85" i="2"/>
  <c r="C69" i="2"/>
  <c r="U69" i="2"/>
  <c r="C81" i="2"/>
  <c r="U81" i="2"/>
  <c r="C45" i="2"/>
  <c r="D45" i="2"/>
  <c r="E45" i="2"/>
  <c r="F45" i="2"/>
  <c r="G45" i="2"/>
  <c r="C116" i="2"/>
  <c r="C62" i="2"/>
  <c r="P92" i="2"/>
  <c r="Q92" i="2"/>
  <c r="R92" i="2"/>
  <c r="S92" i="2"/>
  <c r="C75" i="2"/>
  <c r="U75" i="2"/>
  <c r="C56" i="2"/>
  <c r="U56" i="2"/>
  <c r="U89" i="2"/>
  <c r="C82" i="2"/>
  <c r="U82" i="2"/>
  <c r="O75" i="2"/>
  <c r="AG75" i="2"/>
  <c r="U77" i="2"/>
  <c r="U92" i="2"/>
  <c r="C86" i="2"/>
  <c r="U86" i="2"/>
  <c r="O7" i="2"/>
  <c r="R7" i="2"/>
  <c r="C73" i="2"/>
  <c r="U73" i="2"/>
  <c r="C72" i="2"/>
  <c r="D55" i="2"/>
  <c r="V55" i="2"/>
  <c r="M77" i="2"/>
  <c r="M129" i="2"/>
  <c r="L129" i="2"/>
  <c r="D83" i="2"/>
  <c r="E83" i="2"/>
  <c r="N152" i="2"/>
  <c r="M15" i="2"/>
  <c r="L15" i="2"/>
  <c r="P13" i="2"/>
  <c r="Q13" i="2"/>
  <c r="R13" i="2"/>
  <c r="V92" i="2"/>
  <c r="S13" i="2"/>
  <c r="C134" i="2"/>
  <c r="I15" i="2"/>
  <c r="AF74" i="2"/>
  <c r="AG83" i="2"/>
  <c r="P83" i="2"/>
  <c r="Q83" i="2"/>
  <c r="R83" i="2"/>
  <c r="S83" i="2"/>
  <c r="O86" i="2"/>
  <c r="AG86" i="2"/>
  <c r="O69" i="2"/>
  <c r="AG69" i="2"/>
  <c r="O56" i="2"/>
  <c r="AG56" i="2"/>
  <c r="AG70" i="2"/>
  <c r="AG49" i="2"/>
  <c r="N160" i="2"/>
  <c r="N161" i="2"/>
  <c r="AF78" i="2"/>
  <c r="AF54" i="2"/>
  <c r="N57" i="2"/>
  <c r="N167" i="2"/>
  <c r="O13" i="2"/>
  <c r="O73" i="2"/>
  <c r="AG73" i="2"/>
  <c r="N153" i="2"/>
  <c r="N171" i="2"/>
  <c r="P77" i="2"/>
  <c r="Q77" i="2"/>
  <c r="R77" i="2"/>
  <c r="AG77" i="2"/>
  <c r="H57" i="2"/>
  <c r="Z57" i="2"/>
  <c r="Z54" i="2"/>
  <c r="H167" i="2"/>
  <c r="R11" i="2"/>
  <c r="P11" i="2"/>
  <c r="O11" i="2"/>
  <c r="O71" i="2"/>
  <c r="Q11" i="2"/>
  <c r="S11" i="2"/>
  <c r="K129" i="2"/>
  <c r="AG92" i="2"/>
  <c r="Q70" i="2"/>
  <c r="P129" i="2"/>
  <c r="O51" i="2"/>
  <c r="AG51" i="2"/>
  <c r="R114" i="2"/>
  <c r="S114" i="2"/>
  <c r="P85" i="2"/>
  <c r="O134" i="2"/>
  <c r="AG85" i="2"/>
  <c r="O114" i="2"/>
  <c r="O55" i="2"/>
  <c r="I22" i="2"/>
  <c r="K22" i="2"/>
  <c r="K117" i="2"/>
  <c r="J22" i="2"/>
  <c r="J117" i="2"/>
  <c r="M22" i="2"/>
  <c r="M117" i="2"/>
  <c r="L22" i="2"/>
  <c r="L117" i="2"/>
  <c r="H59" i="2"/>
  <c r="AA89" i="2"/>
  <c r="J89" i="2"/>
  <c r="P88" i="2"/>
  <c r="AG88" i="2"/>
  <c r="S16" i="2"/>
  <c r="R16" i="2"/>
  <c r="O16" i="2"/>
  <c r="O81" i="2"/>
  <c r="Q16" i="2"/>
  <c r="P16" i="2"/>
  <c r="I17" i="2"/>
  <c r="I82" i="2"/>
  <c r="AA82" i="2"/>
  <c r="J17" i="2"/>
  <c r="K17" i="2"/>
  <c r="L17" i="2"/>
  <c r="M17" i="2"/>
  <c r="U60" i="2"/>
  <c r="D60" i="2"/>
  <c r="G88" i="2"/>
  <c r="R9" i="2"/>
  <c r="P9" i="2"/>
  <c r="O9" i="2"/>
  <c r="O52" i="2"/>
  <c r="Q9" i="2"/>
  <c r="S9" i="2"/>
  <c r="I116" i="2"/>
  <c r="I62" i="2"/>
  <c r="I45" i="2"/>
  <c r="J45" i="2"/>
  <c r="K45" i="2"/>
  <c r="L45" i="2"/>
  <c r="M45" i="2"/>
  <c r="G89" i="2"/>
  <c r="I88" i="2"/>
  <c r="I134" i="2"/>
  <c r="I117" i="2"/>
  <c r="I60" i="2"/>
  <c r="S15" i="2"/>
  <c r="P15" i="2"/>
  <c r="Q15" i="2"/>
  <c r="R15" i="2"/>
  <c r="O15" i="2"/>
  <c r="O76" i="2"/>
  <c r="AG76" i="2"/>
  <c r="P89" i="2"/>
  <c r="P115" i="2"/>
  <c r="K16" i="2"/>
  <c r="I16" i="2"/>
  <c r="I81" i="2"/>
  <c r="M16" i="2"/>
  <c r="L16" i="2"/>
  <c r="J16" i="2"/>
  <c r="S77" i="2"/>
  <c r="I14" i="2"/>
  <c r="I75" i="2"/>
  <c r="M14" i="2"/>
  <c r="L14" i="2"/>
  <c r="J14" i="2"/>
  <c r="K14" i="2"/>
  <c r="AG91" i="2"/>
  <c r="P91" i="2"/>
  <c r="AA83" i="2"/>
  <c r="J83" i="2"/>
  <c r="Q114" i="2"/>
  <c r="F129" i="2"/>
  <c r="G70" i="2"/>
  <c r="O12" i="2"/>
  <c r="O72" i="2"/>
  <c r="Q12" i="2"/>
  <c r="R12" i="2"/>
  <c r="P12" i="2"/>
  <c r="S12" i="2"/>
  <c r="P144" i="2"/>
  <c r="P146" i="2"/>
  <c r="P49" i="2"/>
  <c r="AA85" i="2"/>
  <c r="J85" i="2"/>
  <c r="C21" i="2"/>
  <c r="N21" i="2"/>
  <c r="B120" i="2"/>
  <c r="B142" i="2"/>
  <c r="B145" i="2"/>
  <c r="G21" i="2"/>
  <c r="D21" i="2"/>
  <c r="F21" i="2"/>
  <c r="E21" i="2"/>
  <c r="H21" i="2"/>
  <c r="Z84" i="2"/>
  <c r="H87" i="2"/>
  <c r="H78" i="2"/>
  <c r="H153" i="2"/>
  <c r="H152" i="2"/>
  <c r="Z74" i="2"/>
  <c r="I114" i="2"/>
  <c r="I55" i="2"/>
  <c r="T59" i="2"/>
  <c r="B61" i="2"/>
  <c r="B63" i="2"/>
  <c r="T63" i="2"/>
  <c r="AA92" i="2"/>
  <c r="AA91" i="2"/>
  <c r="AA49" i="2"/>
  <c r="I50" i="2"/>
  <c r="I86" i="2"/>
  <c r="AA86" i="2"/>
  <c r="AA77" i="2"/>
  <c r="I51" i="2"/>
  <c r="I76" i="2"/>
  <c r="AA76" i="2"/>
  <c r="J49" i="2"/>
  <c r="I56" i="2"/>
  <c r="AA56" i="2"/>
  <c r="I69" i="2"/>
  <c r="I72" i="2"/>
  <c r="AA70" i="2"/>
  <c r="R22" i="2"/>
  <c r="R117" i="2"/>
  <c r="O22" i="2"/>
  <c r="O117" i="2"/>
  <c r="O60" i="2"/>
  <c r="Q22" i="2"/>
  <c r="Q117" i="2"/>
  <c r="S22" i="2"/>
  <c r="S117" i="2"/>
  <c r="P22" i="2"/>
  <c r="P117" i="2"/>
  <c r="N29" i="2"/>
  <c r="N179" i="2"/>
  <c r="N178" i="2"/>
  <c r="N31" i="2"/>
  <c r="N32" i="2"/>
  <c r="N30" i="2"/>
  <c r="AF93" i="2"/>
  <c r="J11" i="2"/>
  <c r="M11" i="2"/>
  <c r="K11" i="2"/>
  <c r="I11" i="2"/>
  <c r="I71" i="2"/>
  <c r="L11" i="2"/>
  <c r="D73" i="2"/>
  <c r="V73" i="2"/>
  <c r="D71" i="2"/>
  <c r="D158" i="2"/>
  <c r="D81" i="2"/>
  <c r="D56" i="2"/>
  <c r="V56" i="2"/>
  <c r="D76" i="2"/>
  <c r="V76" i="2"/>
  <c r="D75" i="2"/>
  <c r="D82" i="2"/>
  <c r="V82" i="2"/>
  <c r="D69" i="2"/>
  <c r="D51" i="2"/>
  <c r="D86" i="2"/>
  <c r="V86" i="2"/>
  <c r="V49" i="2"/>
  <c r="V88" i="2"/>
  <c r="E49" i="2"/>
  <c r="D50" i="2"/>
  <c r="V91" i="2"/>
  <c r="V77" i="2"/>
  <c r="V89" i="2"/>
  <c r="D72" i="2"/>
  <c r="N94" i="2"/>
  <c r="AF94" i="2"/>
  <c r="G144" i="2"/>
  <c r="G146" i="2"/>
  <c r="G42" i="2"/>
  <c r="S5" i="2"/>
  <c r="S144" i="2"/>
  <c r="S146" i="2"/>
  <c r="M5" i="2"/>
  <c r="M144" i="2"/>
  <c r="M146" i="2"/>
  <c r="AG62" i="2"/>
  <c r="C52" i="2"/>
  <c r="U52" i="2"/>
  <c r="C162" i="2"/>
  <c r="D134" i="2"/>
  <c r="C74" i="2"/>
  <c r="C78" i="2"/>
  <c r="C160" i="2"/>
  <c r="E55" i="2"/>
  <c r="W55" i="2"/>
  <c r="C65" i="2"/>
  <c r="U62" i="2"/>
  <c r="V85" i="2"/>
  <c r="C157" i="2"/>
  <c r="C156" i="2"/>
  <c r="U72" i="2"/>
  <c r="C121" i="2"/>
  <c r="C122" i="2"/>
  <c r="D62" i="2"/>
  <c r="C84" i="2"/>
  <c r="C159" i="2"/>
  <c r="U71" i="2"/>
  <c r="AG71" i="2"/>
  <c r="O159" i="2"/>
  <c r="O158" i="2"/>
  <c r="V83" i="2"/>
  <c r="N59" i="2"/>
  <c r="AF57" i="2"/>
  <c r="Q129" i="2"/>
  <c r="R70" i="2"/>
  <c r="C53" i="2"/>
  <c r="U53" i="2"/>
  <c r="I159" i="2"/>
  <c r="AA71" i="2"/>
  <c r="I158" i="2"/>
  <c r="AA75" i="2"/>
  <c r="I52" i="2"/>
  <c r="AA52" i="2"/>
  <c r="V72" i="2"/>
  <c r="D157" i="2"/>
  <c r="H94" i="2"/>
  <c r="Z94" i="2"/>
  <c r="H166" i="2"/>
  <c r="Z87" i="2"/>
  <c r="R21" i="2"/>
  <c r="S21" i="2"/>
  <c r="Q21" i="2"/>
  <c r="P21" i="2"/>
  <c r="O21" i="2"/>
  <c r="Q88" i="2"/>
  <c r="AH88" i="2"/>
  <c r="D52" i="2"/>
  <c r="V52" i="2"/>
  <c r="V75" i="2"/>
  <c r="I157" i="2"/>
  <c r="AA72" i="2"/>
  <c r="AA51" i="2"/>
  <c r="D74" i="2"/>
  <c r="V69" i="2"/>
  <c r="D121" i="2"/>
  <c r="I54" i="2"/>
  <c r="I57" i="2"/>
  <c r="I84" i="2"/>
  <c r="AA81" i="2"/>
  <c r="I162" i="2"/>
  <c r="J55" i="2"/>
  <c r="AA55" i="2"/>
  <c r="H160" i="2"/>
  <c r="Z78" i="2"/>
  <c r="H171" i="2"/>
  <c r="H161" i="2"/>
  <c r="AA60" i="2"/>
  <c r="J60" i="2"/>
  <c r="O162" i="2"/>
  <c r="AG81" i="2"/>
  <c r="O84" i="2"/>
  <c r="P55" i="2"/>
  <c r="AG55" i="2"/>
  <c r="V50" i="2"/>
  <c r="D156" i="2"/>
  <c r="D162" i="2"/>
  <c r="D84" i="2"/>
  <c r="V81" i="2"/>
  <c r="P116" i="2"/>
  <c r="P62" i="2"/>
  <c r="P45" i="2"/>
  <c r="Q45" i="2"/>
  <c r="R45" i="2"/>
  <c r="S45" i="2"/>
  <c r="J88" i="2"/>
  <c r="J134" i="2"/>
  <c r="AA88" i="2"/>
  <c r="AG52" i="2"/>
  <c r="O54" i="2"/>
  <c r="O57" i="2"/>
  <c r="O53" i="2"/>
  <c r="AG53" i="2"/>
  <c r="H61" i="2"/>
  <c r="Z59" i="2"/>
  <c r="V71" i="2"/>
  <c r="D159" i="2"/>
  <c r="AG60" i="2"/>
  <c r="P60" i="2"/>
  <c r="AB49" i="2"/>
  <c r="J72" i="2"/>
  <c r="J86" i="2"/>
  <c r="AB86" i="2"/>
  <c r="J56" i="2"/>
  <c r="AB56" i="2"/>
  <c r="J75" i="2"/>
  <c r="J73" i="2"/>
  <c r="AB73" i="2"/>
  <c r="AB91" i="2"/>
  <c r="J81" i="2"/>
  <c r="J71" i="2"/>
  <c r="J158" i="2"/>
  <c r="J50" i="2"/>
  <c r="J82" i="2"/>
  <c r="AB82" i="2"/>
  <c r="K49" i="2"/>
  <c r="AB77" i="2"/>
  <c r="J76" i="2"/>
  <c r="AB76" i="2"/>
  <c r="AB92" i="2"/>
  <c r="AB70" i="2"/>
  <c r="J51" i="2"/>
  <c r="J69" i="2"/>
  <c r="B170" i="2"/>
  <c r="B173" i="2"/>
  <c r="B172" i="2"/>
  <c r="B177" i="2"/>
  <c r="T61" i="2"/>
  <c r="B64" i="2"/>
  <c r="B176" i="2"/>
  <c r="E134" i="2"/>
  <c r="F83" i="2"/>
  <c r="W83" i="2"/>
  <c r="AG72" i="2"/>
  <c r="O157" i="2"/>
  <c r="O156" i="2"/>
  <c r="O121" i="2"/>
  <c r="O74" i="2"/>
  <c r="Q91" i="2"/>
  <c r="AH91" i="2"/>
  <c r="Q89" i="2"/>
  <c r="AH89" i="2"/>
  <c r="I65" i="2"/>
  <c r="J62" i="2"/>
  <c r="AA62" i="2"/>
  <c r="C54" i="2"/>
  <c r="C57" i="2"/>
  <c r="B43" i="2"/>
  <c r="S42" i="2"/>
  <c r="M42" i="2"/>
  <c r="E71" i="2"/>
  <c r="E72" i="2"/>
  <c r="E50" i="2"/>
  <c r="E86" i="2"/>
  <c r="W86" i="2"/>
  <c r="E73" i="2"/>
  <c r="W73" i="2"/>
  <c r="E56" i="2"/>
  <c r="W56" i="2"/>
  <c r="E51" i="2"/>
  <c r="F49" i="2"/>
  <c r="W91" i="2"/>
  <c r="E81" i="2"/>
  <c r="E75" i="2"/>
  <c r="W85" i="2"/>
  <c r="W49" i="2"/>
  <c r="W92" i="2"/>
  <c r="E76" i="2"/>
  <c r="W76" i="2"/>
  <c r="E69" i="2"/>
  <c r="E82" i="2"/>
  <c r="W82" i="2"/>
  <c r="W77" i="2"/>
  <c r="W88" i="2"/>
  <c r="W70" i="2"/>
  <c r="W89" i="2"/>
  <c r="V51" i="2"/>
  <c r="I121" i="2"/>
  <c r="AA69" i="2"/>
  <c r="I74" i="2"/>
  <c r="AA50" i="2"/>
  <c r="I156" i="2"/>
  <c r="K21" i="2"/>
  <c r="J21" i="2"/>
  <c r="I21" i="2"/>
  <c r="L21" i="2"/>
  <c r="M21" i="2"/>
  <c r="H120" i="2"/>
  <c r="H142" i="2"/>
  <c r="H145" i="2"/>
  <c r="K85" i="2"/>
  <c r="AB85" i="2"/>
  <c r="P82" i="2"/>
  <c r="AH82" i="2"/>
  <c r="P75" i="2"/>
  <c r="P73" i="2"/>
  <c r="AH73" i="2"/>
  <c r="P69" i="2"/>
  <c r="AH70" i="2"/>
  <c r="P76" i="2"/>
  <c r="AH76" i="2"/>
  <c r="P71" i="2"/>
  <c r="P158" i="2"/>
  <c r="P72" i="2"/>
  <c r="P56" i="2"/>
  <c r="AH56" i="2"/>
  <c r="AH92" i="2"/>
  <c r="P50" i="2"/>
  <c r="P51" i="2"/>
  <c r="Q49" i="2"/>
  <c r="P81" i="2"/>
  <c r="AH83" i="2"/>
  <c r="AH49" i="2"/>
  <c r="AH77" i="2"/>
  <c r="P86" i="2"/>
  <c r="AH86" i="2"/>
  <c r="G129" i="2"/>
  <c r="AB83" i="2"/>
  <c r="K83" i="2"/>
  <c r="V60" i="2"/>
  <c r="E60" i="2"/>
  <c r="K89" i="2"/>
  <c r="AB89" i="2"/>
  <c r="Q85" i="2"/>
  <c r="P134" i="2"/>
  <c r="AH85" i="2"/>
  <c r="U78" i="2"/>
  <c r="C143" i="2"/>
  <c r="F55" i="2"/>
  <c r="X55" i="2"/>
  <c r="C17" i="3"/>
  <c r="C161" i="2"/>
  <c r="C152" i="2"/>
  <c r="U74" i="2"/>
  <c r="E62" i="2"/>
  <c r="V62" i="2"/>
  <c r="C163" i="2"/>
  <c r="U84" i="2"/>
  <c r="C87" i="2"/>
  <c r="O163" i="2"/>
  <c r="D65" i="2"/>
  <c r="C153" i="2"/>
  <c r="AF59" i="2"/>
  <c r="N61" i="2"/>
  <c r="R129" i="2"/>
  <c r="S70" i="2"/>
  <c r="S129" i="2"/>
  <c r="D53" i="2"/>
  <c r="V53" i="2"/>
  <c r="I163" i="2"/>
  <c r="AH51" i="2"/>
  <c r="P74" i="2"/>
  <c r="P121" i="2"/>
  <c r="AH69" i="2"/>
  <c r="C128" i="2"/>
  <c r="C130" i="2"/>
  <c r="C133" i="2"/>
  <c r="C135" i="2"/>
  <c r="C136" i="2"/>
  <c r="C137" i="2"/>
  <c r="N43" i="2"/>
  <c r="E128" i="2"/>
  <c r="E130" i="2"/>
  <c r="E133" i="2"/>
  <c r="E135" i="2"/>
  <c r="E136" i="2"/>
  <c r="E137" i="2"/>
  <c r="B128" i="2"/>
  <c r="B130" i="2"/>
  <c r="B133" i="2"/>
  <c r="B135" i="2"/>
  <c r="B136" i="2"/>
  <c r="F128" i="2"/>
  <c r="F130" i="2"/>
  <c r="F133" i="2"/>
  <c r="D128" i="2"/>
  <c r="D130" i="2"/>
  <c r="D133" i="2"/>
  <c r="D135" i="2"/>
  <c r="D136" i="2"/>
  <c r="D137" i="2"/>
  <c r="H43" i="2"/>
  <c r="AB51" i="2"/>
  <c r="J84" i="2"/>
  <c r="J162" i="2"/>
  <c r="AB81" i="2"/>
  <c r="Q60" i="2"/>
  <c r="AH60" i="2"/>
  <c r="I87" i="2"/>
  <c r="AA84" i="2"/>
  <c r="R85" i="2"/>
  <c r="AI85" i="2"/>
  <c r="Q134" i="2"/>
  <c r="P159" i="2"/>
  <c r="AH71" i="2"/>
  <c r="I143" i="2"/>
  <c r="I122" i="2"/>
  <c r="W75" i="2"/>
  <c r="E52" i="2"/>
  <c r="E53" i="2"/>
  <c r="W53" i="2"/>
  <c r="C167" i="2"/>
  <c r="C120" i="2"/>
  <c r="C171" i="2"/>
  <c r="U54" i="2"/>
  <c r="R89" i="2"/>
  <c r="AI89" i="2"/>
  <c r="O167" i="2"/>
  <c r="AG54" i="2"/>
  <c r="O120" i="2"/>
  <c r="D87" i="2"/>
  <c r="V84" i="2"/>
  <c r="AH55" i="2"/>
  <c r="Q55" i="2"/>
  <c r="AB55" i="2"/>
  <c r="K55" i="2"/>
  <c r="Q81" i="2"/>
  <c r="R49" i="2"/>
  <c r="AI70" i="2"/>
  <c r="Q69" i="2"/>
  <c r="Q86" i="2"/>
  <c r="AI86" i="2"/>
  <c r="Q50" i="2"/>
  <c r="Q56" i="2"/>
  <c r="AI56" i="2"/>
  <c r="AI77" i="2"/>
  <c r="Q71" i="2"/>
  <c r="Q158" i="2"/>
  <c r="AI49" i="2"/>
  <c r="Q75" i="2"/>
  <c r="AI83" i="2"/>
  <c r="Q51" i="2"/>
  <c r="Q76" i="2"/>
  <c r="AI76" i="2"/>
  <c r="Q82" i="2"/>
  <c r="AI82" i="2"/>
  <c r="AI92" i="2"/>
  <c r="Q72" i="2"/>
  <c r="Q73" i="2"/>
  <c r="AI73" i="2"/>
  <c r="I152" i="2"/>
  <c r="I153" i="2"/>
  <c r="I78" i="2"/>
  <c r="I171" i="2"/>
  <c r="AA74" i="2"/>
  <c r="E162" i="2"/>
  <c r="W81" i="2"/>
  <c r="E84" i="2"/>
  <c r="E157" i="2"/>
  <c r="W72" i="2"/>
  <c r="R91" i="2"/>
  <c r="AI91" i="2"/>
  <c r="AB69" i="2"/>
  <c r="J121" i="2"/>
  <c r="J74" i="2"/>
  <c r="K75" i="2"/>
  <c r="K73" i="2"/>
  <c r="AC73" i="2"/>
  <c r="K81" i="2"/>
  <c r="L49" i="2"/>
  <c r="K86" i="2"/>
  <c r="AC86" i="2"/>
  <c r="K69" i="2"/>
  <c r="AC77" i="2"/>
  <c r="K51" i="2"/>
  <c r="AC91" i="2"/>
  <c r="K50" i="2"/>
  <c r="K56" i="2"/>
  <c r="AC56" i="2"/>
  <c r="AC49" i="2"/>
  <c r="AC92" i="2"/>
  <c r="K72" i="2"/>
  <c r="K71" i="2"/>
  <c r="K158" i="2"/>
  <c r="K82" i="2"/>
  <c r="AC82" i="2"/>
  <c r="AC70" i="2"/>
  <c r="K76" i="2"/>
  <c r="AC76" i="2"/>
  <c r="AB71" i="2"/>
  <c r="J159" i="2"/>
  <c r="AB75" i="2"/>
  <c r="J52" i="2"/>
  <c r="AB52" i="2"/>
  <c r="H63" i="2"/>
  <c r="Z63" i="2"/>
  <c r="H64" i="2"/>
  <c r="H176" i="2"/>
  <c r="Z61" i="2"/>
  <c r="H170" i="2"/>
  <c r="H172" i="2"/>
  <c r="H177" i="2"/>
  <c r="H173" i="2"/>
  <c r="P65" i="2"/>
  <c r="AH62" i="2"/>
  <c r="Q62" i="2"/>
  <c r="K60" i="2"/>
  <c r="AB60" i="2"/>
  <c r="D163" i="2"/>
  <c r="L89" i="2"/>
  <c r="AC89" i="2"/>
  <c r="P157" i="2"/>
  <c r="AH72" i="2"/>
  <c r="W71" i="2"/>
  <c r="E159" i="2"/>
  <c r="D143" i="2"/>
  <c r="D122" i="2"/>
  <c r="W60" i="2"/>
  <c r="F60" i="2"/>
  <c r="P156" i="2"/>
  <c r="AH50" i="2"/>
  <c r="F71" i="2"/>
  <c r="F73" i="2"/>
  <c r="X73" i="2"/>
  <c r="F50" i="2"/>
  <c r="X49" i="2"/>
  <c r="F17" i="3"/>
  <c r="F75" i="2"/>
  <c r="F72" i="2"/>
  <c r="F76" i="2"/>
  <c r="X76" i="2"/>
  <c r="F86" i="2"/>
  <c r="X86" i="2"/>
  <c r="F82" i="2"/>
  <c r="X82" i="2"/>
  <c r="F81" i="2"/>
  <c r="X85" i="2"/>
  <c r="F56" i="2"/>
  <c r="X56" i="2"/>
  <c r="D17" i="3"/>
  <c r="F69" i="2"/>
  <c r="G49" i="2"/>
  <c r="X77" i="2"/>
  <c r="F51" i="2"/>
  <c r="X91" i="2"/>
  <c r="X92" i="2"/>
  <c r="X89" i="2"/>
  <c r="X88" i="2"/>
  <c r="X70" i="2"/>
  <c r="K62" i="2"/>
  <c r="J65" i="2"/>
  <c r="AB62" i="2"/>
  <c r="O78" i="2"/>
  <c r="AG74" i="2"/>
  <c r="O152" i="2"/>
  <c r="O153" i="2"/>
  <c r="AB88" i="2"/>
  <c r="K88" i="2"/>
  <c r="K134" i="2"/>
  <c r="AA54" i="2"/>
  <c r="I167" i="2"/>
  <c r="I120" i="2"/>
  <c r="AC83" i="2"/>
  <c r="L83" i="2"/>
  <c r="AH81" i="2"/>
  <c r="P84" i="2"/>
  <c r="P162" i="2"/>
  <c r="AH75" i="2"/>
  <c r="P52" i="2"/>
  <c r="AH52" i="2"/>
  <c r="AC85" i="2"/>
  <c r="L85" i="2"/>
  <c r="W69" i="2"/>
  <c r="E74" i="2"/>
  <c r="E121" i="2"/>
  <c r="E158" i="2"/>
  <c r="W51" i="2"/>
  <c r="W50" i="2"/>
  <c r="E156" i="2"/>
  <c r="O122" i="2"/>
  <c r="O143" i="2"/>
  <c r="F134" i="2"/>
  <c r="X83" i="2"/>
  <c r="G83" i="2"/>
  <c r="J156" i="2"/>
  <c r="AB50" i="2"/>
  <c r="J157" i="2"/>
  <c r="AB72" i="2"/>
  <c r="AG84" i="2"/>
  <c r="O87" i="2"/>
  <c r="D153" i="2"/>
  <c r="V74" i="2"/>
  <c r="D152" i="2"/>
  <c r="D78" i="2"/>
  <c r="I53" i="2"/>
  <c r="AA53" i="2"/>
  <c r="AI88" i="2"/>
  <c r="R88" i="2"/>
  <c r="D54" i="2"/>
  <c r="D57" i="2"/>
  <c r="G55" i="2"/>
  <c r="Y55" i="2"/>
  <c r="C166" i="2"/>
  <c r="U87" i="2"/>
  <c r="E65" i="2"/>
  <c r="F62" i="2"/>
  <c r="W62" i="2"/>
  <c r="N173" i="2"/>
  <c r="N177" i="2"/>
  <c r="N172" i="2"/>
  <c r="N64" i="2"/>
  <c r="N176" i="2"/>
  <c r="AF61" i="2"/>
  <c r="N63" i="2"/>
  <c r="AF63" i="2"/>
  <c r="N170" i="2"/>
  <c r="J163" i="2"/>
  <c r="AD83" i="2"/>
  <c r="M83" i="2"/>
  <c r="I123" i="2"/>
  <c r="I127" i="2"/>
  <c r="I142" i="2"/>
  <c r="I145" i="2"/>
  <c r="AA57" i="2"/>
  <c r="I58" i="2"/>
  <c r="AA58" i="2"/>
  <c r="F159" i="2"/>
  <c r="J22" i="3"/>
  <c r="X71" i="2"/>
  <c r="K121" i="2"/>
  <c r="AC69" i="2"/>
  <c r="K74" i="2"/>
  <c r="AI75" i="2"/>
  <c r="Q52" i="2"/>
  <c r="Q53" i="2"/>
  <c r="AI53" i="2"/>
  <c r="O58" i="2"/>
  <c r="AG58" i="2"/>
  <c r="AG57" i="2"/>
  <c r="AB84" i="2"/>
  <c r="J87" i="2"/>
  <c r="P128" i="2"/>
  <c r="P130" i="2"/>
  <c r="P133" i="2"/>
  <c r="P135" i="2"/>
  <c r="P136" i="2"/>
  <c r="P137" i="2"/>
  <c r="Q128" i="2"/>
  <c r="Q130" i="2"/>
  <c r="Q133" i="2"/>
  <c r="Q135" i="2"/>
  <c r="Q136" i="2"/>
  <c r="Q137" i="2"/>
  <c r="R128" i="2"/>
  <c r="R130" i="2"/>
  <c r="R133" i="2"/>
  <c r="O128" i="2"/>
  <c r="O130" i="2"/>
  <c r="O133" i="2"/>
  <c r="O135" i="2"/>
  <c r="O136" i="2"/>
  <c r="O137" i="2"/>
  <c r="N128" i="2"/>
  <c r="N130" i="2"/>
  <c r="N133" i="2"/>
  <c r="N135" i="2"/>
  <c r="N136" i="2"/>
  <c r="AJ88" i="2"/>
  <c r="S88" i="2"/>
  <c r="E143" i="2"/>
  <c r="E122" i="2"/>
  <c r="F158" i="2"/>
  <c r="AC75" i="2"/>
  <c r="K52" i="2"/>
  <c r="AC52" i="2"/>
  <c r="AI51" i="2"/>
  <c r="AJ49" i="2"/>
  <c r="F19" i="3"/>
  <c r="R56" i="2"/>
  <c r="AJ56" i="2"/>
  <c r="D19" i="3"/>
  <c r="S49" i="2"/>
  <c r="R69" i="2"/>
  <c r="R75" i="2"/>
  <c r="R51" i="2"/>
  <c r="R82" i="2"/>
  <c r="AJ82" i="2"/>
  <c r="R71" i="2"/>
  <c r="R158" i="2"/>
  <c r="AJ83" i="2"/>
  <c r="R76" i="2"/>
  <c r="AJ76" i="2"/>
  <c r="R72" i="2"/>
  <c r="R50" i="2"/>
  <c r="R86" i="2"/>
  <c r="AJ86" i="2"/>
  <c r="AJ92" i="2"/>
  <c r="R73" i="2"/>
  <c r="AJ73" i="2"/>
  <c r="R81" i="2"/>
  <c r="AJ77" i="2"/>
  <c r="AJ70" i="2"/>
  <c r="AI55" i="2"/>
  <c r="R55" i="2"/>
  <c r="R60" i="2"/>
  <c r="AI60" i="2"/>
  <c r="F135" i="2"/>
  <c r="F136" i="2"/>
  <c r="F137" i="2"/>
  <c r="V54" i="2"/>
  <c r="D171" i="2"/>
  <c r="D167" i="2"/>
  <c r="D120" i="2"/>
  <c r="O161" i="2"/>
  <c r="O160" i="2"/>
  <c r="AG78" i="2"/>
  <c r="X69" i="2"/>
  <c r="F121" i="2"/>
  <c r="F74" i="2"/>
  <c r="F162" i="2"/>
  <c r="F84" i="2"/>
  <c r="X81" i="2"/>
  <c r="F157" i="2"/>
  <c r="X72" i="2"/>
  <c r="P54" i="2"/>
  <c r="P57" i="2"/>
  <c r="P163" i="2"/>
  <c r="K156" i="2"/>
  <c r="AC50" i="2"/>
  <c r="K84" i="2"/>
  <c r="K162" i="2"/>
  <c r="AC81" i="2"/>
  <c r="J122" i="2"/>
  <c r="J143" i="2"/>
  <c r="Q157" i="2"/>
  <c r="AI72" i="2"/>
  <c r="AI69" i="2"/>
  <c r="Q121" i="2"/>
  <c r="Q74" i="2"/>
  <c r="AC55" i="2"/>
  <c r="L55" i="2"/>
  <c r="W52" i="2"/>
  <c r="E54" i="2"/>
  <c r="E57" i="2"/>
  <c r="AA87" i="2"/>
  <c r="I166" i="2"/>
  <c r="H128" i="2"/>
  <c r="H130" i="2"/>
  <c r="H133" i="2"/>
  <c r="H135" i="2"/>
  <c r="H136" i="2"/>
  <c r="K128" i="2"/>
  <c r="K130" i="2"/>
  <c r="K133" i="2"/>
  <c r="K135" i="2"/>
  <c r="K136" i="2"/>
  <c r="K137" i="2"/>
  <c r="L128" i="2"/>
  <c r="L130" i="2"/>
  <c r="L133" i="2"/>
  <c r="I128" i="2"/>
  <c r="I130" i="2"/>
  <c r="I133" i="2"/>
  <c r="I135" i="2"/>
  <c r="I136" i="2"/>
  <c r="I137" i="2"/>
  <c r="J128" i="2"/>
  <c r="J130" i="2"/>
  <c r="J133" i="2"/>
  <c r="J135" i="2"/>
  <c r="J136" i="2"/>
  <c r="J137" i="2"/>
  <c r="P143" i="2"/>
  <c r="P122" i="2"/>
  <c r="V78" i="2"/>
  <c r="D160" i="2"/>
  <c r="D161" i="2"/>
  <c r="F52" i="2"/>
  <c r="X75" i="2"/>
  <c r="X60" i="2"/>
  <c r="G60" i="2"/>
  <c r="Y60" i="2"/>
  <c r="K159" i="2"/>
  <c r="AC71" i="2"/>
  <c r="D166" i="2"/>
  <c r="V87" i="2"/>
  <c r="C142" i="2"/>
  <c r="C145" i="2"/>
  <c r="C123" i="2"/>
  <c r="C127" i="2"/>
  <c r="P153" i="2"/>
  <c r="P78" i="2"/>
  <c r="AH74" i="2"/>
  <c r="P152" i="2"/>
  <c r="M85" i="2"/>
  <c r="AD85" i="2"/>
  <c r="L60" i="2"/>
  <c r="AC60" i="2"/>
  <c r="E163" i="2"/>
  <c r="Q156" i="2"/>
  <c r="AI50" i="2"/>
  <c r="O123" i="2"/>
  <c r="O127" i="2"/>
  <c r="O142" i="2"/>
  <c r="O145" i="2"/>
  <c r="S89" i="2"/>
  <c r="AJ89" i="2"/>
  <c r="S85" i="2"/>
  <c r="AJ85" i="2"/>
  <c r="R134" i="2"/>
  <c r="J53" i="2"/>
  <c r="AB53" i="2"/>
  <c r="AG87" i="2"/>
  <c r="O166" i="2"/>
  <c r="Y83" i="2"/>
  <c r="G134" i="2"/>
  <c r="W74" i="2"/>
  <c r="E153" i="2"/>
  <c r="E152" i="2"/>
  <c r="E78" i="2"/>
  <c r="AH84" i="2"/>
  <c r="P87" i="2"/>
  <c r="L88" i="2"/>
  <c r="L134" i="2"/>
  <c r="AC88" i="2"/>
  <c r="AC62" i="2"/>
  <c r="L62" i="2"/>
  <c r="K65" i="2"/>
  <c r="X51" i="2"/>
  <c r="G69" i="2"/>
  <c r="G51" i="2"/>
  <c r="G56" i="2"/>
  <c r="Y56" i="2"/>
  <c r="G50" i="2"/>
  <c r="G81" i="2"/>
  <c r="G72" i="2"/>
  <c r="Y49" i="2"/>
  <c r="G73" i="2"/>
  <c r="Y73" i="2"/>
  <c r="G75" i="2"/>
  <c r="G71" i="2"/>
  <c r="G82" i="2"/>
  <c r="Y82" i="2"/>
  <c r="Y85" i="2"/>
  <c r="Y91" i="2"/>
  <c r="G76" i="2"/>
  <c r="Y76" i="2"/>
  <c r="G86" i="2"/>
  <c r="Y86" i="2"/>
  <c r="Y92" i="2"/>
  <c r="Y77" i="2"/>
  <c r="Y89" i="2"/>
  <c r="Y70" i="2"/>
  <c r="Y88" i="2"/>
  <c r="X50" i="2"/>
  <c r="A17" i="3"/>
  <c r="F156" i="2"/>
  <c r="M89" i="2"/>
  <c r="AD89" i="2"/>
  <c r="Q65" i="2"/>
  <c r="R62" i="2"/>
  <c r="AI62" i="2"/>
  <c r="AC72" i="2"/>
  <c r="K157" i="2"/>
  <c r="AC51" i="2"/>
  <c r="L72" i="2"/>
  <c r="L82" i="2"/>
  <c r="AD82" i="2"/>
  <c r="AD91" i="2"/>
  <c r="L50" i="2"/>
  <c r="L86" i="2"/>
  <c r="AD86" i="2"/>
  <c r="AD70" i="2"/>
  <c r="L71" i="2"/>
  <c r="L81" i="2"/>
  <c r="L56" i="2"/>
  <c r="AD56" i="2"/>
  <c r="D18" i="3"/>
  <c r="AD92" i="2"/>
  <c r="AD49" i="2"/>
  <c r="F18" i="3"/>
  <c r="M49" i="2"/>
  <c r="L75" i="2"/>
  <c r="L69" i="2"/>
  <c r="L73" i="2"/>
  <c r="AD73" i="2"/>
  <c r="L76" i="2"/>
  <c r="AD76" i="2"/>
  <c r="L51" i="2"/>
  <c r="AD77" i="2"/>
  <c r="AB74" i="2"/>
  <c r="J153" i="2"/>
  <c r="J78" i="2"/>
  <c r="J152" i="2"/>
  <c r="S91" i="2"/>
  <c r="AJ91" i="2"/>
  <c r="W84" i="2"/>
  <c r="E87" i="2"/>
  <c r="AA78" i="2"/>
  <c r="I160" i="2"/>
  <c r="I161" i="2"/>
  <c r="Q159" i="2"/>
  <c r="AI71" i="2"/>
  <c r="Q84" i="2"/>
  <c r="AI81" i="2"/>
  <c r="Q162" i="2"/>
  <c r="O171" i="2"/>
  <c r="J54" i="2"/>
  <c r="J57" i="2"/>
  <c r="C58" i="2"/>
  <c r="U58" i="2"/>
  <c r="U57" i="2"/>
  <c r="P53" i="2"/>
  <c r="AH53" i="2"/>
  <c r="AK91" i="2"/>
  <c r="K53" i="2"/>
  <c r="AC53" i="2"/>
  <c r="X62" i="2"/>
  <c r="G62" i="2"/>
  <c r="F65" i="2"/>
  <c r="C59" i="2"/>
  <c r="C61" i="2"/>
  <c r="K163" i="2"/>
  <c r="L135" i="2"/>
  <c r="L136" i="2"/>
  <c r="L137" i="2"/>
  <c r="O59" i="2"/>
  <c r="AG59" i="2"/>
  <c r="AD51" i="2"/>
  <c r="AD81" i="2"/>
  <c r="L162" i="2"/>
  <c r="L84" i="2"/>
  <c r="L156" i="2"/>
  <c r="AD50" i="2"/>
  <c r="A18" i="3"/>
  <c r="G156" i="2"/>
  <c r="Y50" i="2"/>
  <c r="P166" i="2"/>
  <c r="AH87" i="2"/>
  <c r="X52" i="2"/>
  <c r="F54" i="2"/>
  <c r="F57" i="2"/>
  <c r="M55" i="2"/>
  <c r="AE55" i="2"/>
  <c r="AD55" i="2"/>
  <c r="C18" i="3"/>
  <c r="AC84" i="2"/>
  <c r="K87" i="2"/>
  <c r="X84" i="2"/>
  <c r="F87" i="2"/>
  <c r="D58" i="2"/>
  <c r="V58" i="2"/>
  <c r="V57" i="2"/>
  <c r="R156" i="2"/>
  <c r="AJ50" i="2"/>
  <c r="A19" i="3"/>
  <c r="AE89" i="2"/>
  <c r="Y71" i="2"/>
  <c r="G159" i="2"/>
  <c r="F53" i="2"/>
  <c r="X53" i="2"/>
  <c r="B17" i="3"/>
  <c r="AD60" i="2"/>
  <c r="M60" i="2"/>
  <c r="AE60" i="2"/>
  <c r="R162" i="2"/>
  <c r="R84" i="2"/>
  <c r="AJ81" i="2"/>
  <c r="R121" i="2"/>
  <c r="AJ69" i="2"/>
  <c r="R74" i="2"/>
  <c r="K152" i="2"/>
  <c r="K153" i="2"/>
  <c r="AC74" i="2"/>
  <c r="K78" i="2"/>
  <c r="AD69" i="2"/>
  <c r="L121" i="2"/>
  <c r="L74" i="2"/>
  <c r="AH78" i="2"/>
  <c r="P160" i="2"/>
  <c r="P161" i="2"/>
  <c r="P171" i="2"/>
  <c r="P120" i="2"/>
  <c r="AH54" i="2"/>
  <c r="P167" i="2"/>
  <c r="S60" i="2"/>
  <c r="AK60" i="2"/>
  <c r="AJ60" i="2"/>
  <c r="AJ71" i="2"/>
  <c r="R159" i="2"/>
  <c r="J24" i="3"/>
  <c r="AE83" i="2"/>
  <c r="AD71" i="2"/>
  <c r="L159" i="2"/>
  <c r="J23" i="3"/>
  <c r="R65" i="2"/>
  <c r="S62" i="2"/>
  <c r="AJ62" i="2"/>
  <c r="Y72" i="2"/>
  <c r="G157" i="2"/>
  <c r="AE85" i="2"/>
  <c r="D123" i="2"/>
  <c r="D127" i="2"/>
  <c r="D142" i="2"/>
  <c r="D145" i="2"/>
  <c r="S55" i="2"/>
  <c r="AK55" i="2"/>
  <c r="AJ55" i="2"/>
  <c r="C19" i="3"/>
  <c r="R157" i="2"/>
  <c r="AJ72" i="2"/>
  <c r="E166" i="2"/>
  <c r="W87" i="2"/>
  <c r="L52" i="2"/>
  <c r="AD52" i="2"/>
  <c r="AD75" i="2"/>
  <c r="Y75" i="2"/>
  <c r="G52" i="2"/>
  <c r="Y52" i="2"/>
  <c r="G158" i="2"/>
  <c r="Y51" i="2"/>
  <c r="W78" i="2"/>
  <c r="E160" i="2"/>
  <c r="E161" i="2"/>
  <c r="AK89" i="2"/>
  <c r="W54" i="2"/>
  <c r="E167" i="2"/>
  <c r="E120" i="2"/>
  <c r="E171" i="2"/>
  <c r="AI74" i="2"/>
  <c r="Q152" i="2"/>
  <c r="Q153" i="2"/>
  <c r="Q78" i="2"/>
  <c r="Q163" i="2"/>
  <c r="I22" i="3"/>
  <c r="F163" i="2"/>
  <c r="G22" i="3"/>
  <c r="X74" i="2"/>
  <c r="F152" i="2"/>
  <c r="M22" i="3"/>
  <c r="F78" i="2"/>
  <c r="M17" i="3"/>
  <c r="F153" i="2"/>
  <c r="M27" i="3"/>
  <c r="AJ51" i="2"/>
  <c r="S69" i="2"/>
  <c r="S73" i="2"/>
  <c r="AK73" i="2"/>
  <c r="AK92" i="2"/>
  <c r="S82" i="2"/>
  <c r="AK82" i="2"/>
  <c r="S56" i="2"/>
  <c r="AK56" i="2"/>
  <c r="S72" i="2"/>
  <c r="S51" i="2"/>
  <c r="S71" i="2"/>
  <c r="S50" i="2"/>
  <c r="AK49" i="2"/>
  <c r="S86" i="2"/>
  <c r="AK86" i="2"/>
  <c r="S76" i="2"/>
  <c r="AK76" i="2"/>
  <c r="S75" i="2"/>
  <c r="S81" i="2"/>
  <c r="AK83" i="2"/>
  <c r="AK70" i="2"/>
  <c r="AK77" i="2"/>
  <c r="J166" i="2"/>
  <c r="AB87" i="2"/>
  <c r="J120" i="2"/>
  <c r="J171" i="2"/>
  <c r="J167" i="2"/>
  <c r="AB54" i="2"/>
  <c r="Q87" i="2"/>
  <c r="AI84" i="2"/>
  <c r="AB78" i="2"/>
  <c r="J160" i="2"/>
  <c r="J161" i="2"/>
  <c r="L158" i="2"/>
  <c r="AE77" i="2"/>
  <c r="M72" i="2"/>
  <c r="M56" i="2"/>
  <c r="AE56" i="2"/>
  <c r="M73" i="2"/>
  <c r="AE73" i="2"/>
  <c r="M71" i="2"/>
  <c r="M158" i="2"/>
  <c r="M81" i="2"/>
  <c r="M51" i="2"/>
  <c r="AE91" i="2"/>
  <c r="M75" i="2"/>
  <c r="M69" i="2"/>
  <c r="M50" i="2"/>
  <c r="M86" i="2"/>
  <c r="AE86" i="2"/>
  <c r="M76" i="2"/>
  <c r="AE76" i="2"/>
  <c r="AE49" i="2"/>
  <c r="M82" i="2"/>
  <c r="AE82" i="2"/>
  <c r="AE70" i="2"/>
  <c r="AE92" i="2"/>
  <c r="L157" i="2"/>
  <c r="AD72" i="2"/>
  <c r="G162" i="2"/>
  <c r="G84" i="2"/>
  <c r="Y81" i="2"/>
  <c r="Y69" i="2"/>
  <c r="G74" i="2"/>
  <c r="G121" i="2"/>
  <c r="L65" i="2"/>
  <c r="AD62" i="2"/>
  <c r="M62" i="2"/>
  <c r="M88" i="2"/>
  <c r="AD88" i="2"/>
  <c r="AK85" i="2"/>
  <c r="S134" i="2"/>
  <c r="Q143" i="2"/>
  <c r="Q122" i="2"/>
  <c r="F122" i="2"/>
  <c r="F143" i="2"/>
  <c r="R52" i="2"/>
  <c r="AJ52" i="2"/>
  <c r="AJ75" i="2"/>
  <c r="AK88" i="2"/>
  <c r="R135" i="2"/>
  <c r="R136" i="2"/>
  <c r="R137" i="2"/>
  <c r="AI52" i="2"/>
  <c r="Q54" i="2"/>
  <c r="Q57" i="2"/>
  <c r="K122" i="2"/>
  <c r="K143" i="2"/>
  <c r="I59" i="2"/>
  <c r="K54" i="2"/>
  <c r="K57" i="2"/>
  <c r="O61" i="2"/>
  <c r="O177" i="2"/>
  <c r="U59" i="2"/>
  <c r="Y62" i="2"/>
  <c r="G65" i="2"/>
  <c r="G163" i="2"/>
  <c r="R53" i="2"/>
  <c r="AJ53" i="2"/>
  <c r="B19" i="3"/>
  <c r="R54" i="2"/>
  <c r="R57" i="2"/>
  <c r="G53" i="2"/>
  <c r="Y53" i="2"/>
  <c r="D59" i="2"/>
  <c r="D61" i="2"/>
  <c r="Q120" i="2"/>
  <c r="Q167" i="2"/>
  <c r="AI54" i="2"/>
  <c r="Q171" i="2"/>
  <c r="I23" i="3"/>
  <c r="L163" i="2"/>
  <c r="G23" i="3"/>
  <c r="M156" i="2"/>
  <c r="AE50" i="2"/>
  <c r="J58" i="2"/>
  <c r="AB58" i="2"/>
  <c r="AB57" i="2"/>
  <c r="W57" i="2"/>
  <c r="E58" i="2"/>
  <c r="W58" i="2"/>
  <c r="I24" i="3"/>
  <c r="R163" i="2"/>
  <c r="G24" i="3"/>
  <c r="AJ84" i="2"/>
  <c r="R87" i="2"/>
  <c r="I61" i="2"/>
  <c r="AA59" i="2"/>
  <c r="AE88" i="2"/>
  <c r="G87" i="2"/>
  <c r="Y84" i="2"/>
  <c r="AE51" i="2"/>
  <c r="S52" i="2"/>
  <c r="AK52" i="2"/>
  <c r="AK75" i="2"/>
  <c r="AK51" i="2"/>
  <c r="P123" i="2"/>
  <c r="P127" i="2"/>
  <c r="P142" i="2"/>
  <c r="P145" i="2"/>
  <c r="K167" i="2"/>
  <c r="K171" i="2"/>
  <c r="K120" i="2"/>
  <c r="AC54" i="2"/>
  <c r="AE75" i="2"/>
  <c r="M52" i="2"/>
  <c r="AE52" i="2"/>
  <c r="AK81" i="2"/>
  <c r="S162" i="2"/>
  <c r="S84" i="2"/>
  <c r="AK50" i="2"/>
  <c r="S156" i="2"/>
  <c r="E142" i="2"/>
  <c r="E145" i="2"/>
  <c r="E123" i="2"/>
  <c r="E127" i="2"/>
  <c r="AH57" i="2"/>
  <c r="P58" i="2"/>
  <c r="AH58" i="2"/>
  <c r="L143" i="2"/>
  <c r="L122" i="2"/>
  <c r="AD84" i="2"/>
  <c r="L87" i="2"/>
  <c r="L53" i="2"/>
  <c r="AD53" i="2"/>
  <c r="B18" i="3"/>
  <c r="AE72" i="2"/>
  <c r="M157" i="2"/>
  <c r="Q166" i="2"/>
  <c r="AI87" i="2"/>
  <c r="AK71" i="2"/>
  <c r="S159" i="2"/>
  <c r="S121" i="2"/>
  <c r="S74" i="2"/>
  <c r="AK69" i="2"/>
  <c r="O17" i="3"/>
  <c r="X78" i="2"/>
  <c r="F160" i="2"/>
  <c r="K22" i="3"/>
  <c r="F161" i="2"/>
  <c r="I9" i="3"/>
  <c r="K17" i="3"/>
  <c r="S65" i="2"/>
  <c r="AK62" i="2"/>
  <c r="R78" i="2"/>
  <c r="M19" i="3"/>
  <c r="R153" i="2"/>
  <c r="M29" i="3"/>
  <c r="R152" i="2"/>
  <c r="M24" i="3"/>
  <c r="AJ74" i="2"/>
  <c r="I19" i="3"/>
  <c r="F166" i="2"/>
  <c r="M9" i="3"/>
  <c r="X87" i="2"/>
  <c r="G143" i="2"/>
  <c r="G122" i="2"/>
  <c r="M159" i="2"/>
  <c r="AE71" i="2"/>
  <c r="J142" i="2"/>
  <c r="J145" i="2"/>
  <c r="J123" i="2"/>
  <c r="J127" i="2"/>
  <c r="S158" i="2"/>
  <c r="AJ54" i="2"/>
  <c r="O29" i="3"/>
  <c r="R167" i="2"/>
  <c r="O24" i="3"/>
  <c r="AC78" i="2"/>
  <c r="K161" i="2"/>
  <c r="K160" i="2"/>
  <c r="U61" i="2"/>
  <c r="C63" i="2"/>
  <c r="C172" i="2"/>
  <c r="C170" i="2"/>
  <c r="C64" i="2"/>
  <c r="C176" i="2"/>
  <c r="C177" i="2"/>
  <c r="AE62" i="2"/>
  <c r="M65" i="2"/>
  <c r="G78" i="2"/>
  <c r="G153" i="2"/>
  <c r="G152" i="2"/>
  <c r="Y74" i="2"/>
  <c r="AE69" i="2"/>
  <c r="M74" i="2"/>
  <c r="M121" i="2"/>
  <c r="M84" i="2"/>
  <c r="AE81" i="2"/>
  <c r="M162" i="2"/>
  <c r="AK72" i="2"/>
  <c r="S157" i="2"/>
  <c r="I17" i="3"/>
  <c r="AI78" i="2"/>
  <c r="Q161" i="2"/>
  <c r="Q160" i="2"/>
  <c r="G54" i="2"/>
  <c r="G57" i="2"/>
  <c r="M134" i="2"/>
  <c r="AD74" i="2"/>
  <c r="L152" i="2"/>
  <c r="M23" i="3"/>
  <c r="L78" i="2"/>
  <c r="M18" i="3"/>
  <c r="L153" i="2"/>
  <c r="M28" i="3"/>
  <c r="R143" i="2"/>
  <c r="R122" i="2"/>
  <c r="AC87" i="2"/>
  <c r="K166" i="2"/>
  <c r="F167" i="2"/>
  <c r="O22" i="3"/>
  <c r="F171" i="2"/>
  <c r="F120" i="2"/>
  <c r="X54" i="2"/>
  <c r="O27" i="3"/>
  <c r="L54" i="2"/>
  <c r="L57" i="2"/>
  <c r="E59" i="2"/>
  <c r="E61" i="2"/>
  <c r="O170" i="2"/>
  <c r="O63" i="2"/>
  <c r="AG63" i="2"/>
  <c r="O64" i="2"/>
  <c r="O176" i="2"/>
  <c r="R120" i="2"/>
  <c r="R142" i="2"/>
  <c r="R145" i="2"/>
  <c r="O172" i="2"/>
  <c r="AG61" i="2"/>
  <c r="R171" i="2"/>
  <c r="V59" i="2"/>
  <c r="S54" i="2"/>
  <c r="M54" i="2"/>
  <c r="I18" i="3"/>
  <c r="M163" i="2"/>
  <c r="AE84" i="2"/>
  <c r="M87" i="2"/>
  <c r="S152" i="2"/>
  <c r="AK74" i="2"/>
  <c r="S78" i="2"/>
  <c r="S153" i="2"/>
  <c r="P59" i="2"/>
  <c r="F142" i="2"/>
  <c r="F145" i="2"/>
  <c r="F123" i="2"/>
  <c r="F127" i="2"/>
  <c r="M78" i="2"/>
  <c r="M152" i="2"/>
  <c r="M153" i="2"/>
  <c r="AE74" i="2"/>
  <c r="U63" i="2"/>
  <c r="C90" i="2"/>
  <c r="AJ78" i="2"/>
  <c r="R161" i="2"/>
  <c r="I11" i="3"/>
  <c r="R160" i="2"/>
  <c r="K24" i="3"/>
  <c r="O19" i="3"/>
  <c r="K19" i="3"/>
  <c r="L166" i="2"/>
  <c r="M10" i="3"/>
  <c r="AD87" i="2"/>
  <c r="AK84" i="2"/>
  <c r="S87" i="2"/>
  <c r="S53" i="2"/>
  <c r="AK53" i="2"/>
  <c r="J59" i="2"/>
  <c r="Y78" i="2"/>
  <c r="G160" i="2"/>
  <c r="G161" i="2"/>
  <c r="AD54" i="2"/>
  <c r="O28" i="3"/>
  <c r="L120" i="2"/>
  <c r="L171" i="2"/>
  <c r="L167" i="2"/>
  <c r="O23" i="3"/>
  <c r="F58" i="2"/>
  <c r="X58" i="2"/>
  <c r="E17" i="3"/>
  <c r="X57" i="2"/>
  <c r="S163" i="2"/>
  <c r="K142" i="2"/>
  <c r="K145" i="2"/>
  <c r="K123" i="2"/>
  <c r="K127" i="2"/>
  <c r="G166" i="2"/>
  <c r="Y87" i="2"/>
  <c r="I63" i="2"/>
  <c r="I172" i="2"/>
  <c r="I64" i="2"/>
  <c r="I176" i="2"/>
  <c r="AA61" i="2"/>
  <c r="I170" i="2"/>
  <c r="I177" i="2"/>
  <c r="AD78" i="2"/>
  <c r="O18" i="3"/>
  <c r="L160" i="2"/>
  <c r="K23" i="3"/>
  <c r="L161" i="2"/>
  <c r="I10" i="3"/>
  <c r="K18" i="3"/>
  <c r="G120" i="2"/>
  <c r="G167" i="2"/>
  <c r="G171" i="2"/>
  <c r="Y54" i="2"/>
  <c r="M143" i="2"/>
  <c r="M122" i="2"/>
  <c r="AJ57" i="2"/>
  <c r="R58" i="2"/>
  <c r="AJ58" i="2"/>
  <c r="E19" i="3"/>
  <c r="D64" i="2"/>
  <c r="D176" i="2"/>
  <c r="V61" i="2"/>
  <c r="D172" i="2"/>
  <c r="D170" i="2"/>
  <c r="D63" i="2"/>
  <c r="V63" i="2"/>
  <c r="D177" i="2"/>
  <c r="S143" i="2"/>
  <c r="S122" i="2"/>
  <c r="K58" i="2"/>
  <c r="AC58" i="2"/>
  <c r="AC57" i="2"/>
  <c r="M53" i="2"/>
  <c r="AE53" i="2"/>
  <c r="AJ87" i="2"/>
  <c r="R166" i="2"/>
  <c r="M11" i="3"/>
  <c r="AI57" i="2"/>
  <c r="Q58" i="2"/>
  <c r="AI58" i="2"/>
  <c r="Q123" i="2"/>
  <c r="Q127" i="2"/>
  <c r="Q142" i="2"/>
  <c r="Q145" i="2"/>
  <c r="W59" i="2"/>
  <c r="M171" i="2"/>
  <c r="R123" i="2"/>
  <c r="R127" i="2"/>
  <c r="O90" i="2"/>
  <c r="AG90" i="2"/>
  <c r="M120" i="2"/>
  <c r="M123" i="2"/>
  <c r="M57" i="2"/>
  <c r="M58" i="2"/>
  <c r="AE58" i="2"/>
  <c r="S167" i="2"/>
  <c r="S57" i="2"/>
  <c r="AK57" i="2"/>
  <c r="AK54" i="2"/>
  <c r="AE54" i="2"/>
  <c r="M167" i="2"/>
  <c r="S120" i="2"/>
  <c r="S142" i="2"/>
  <c r="S145" i="2"/>
  <c r="Q59" i="2"/>
  <c r="AI59" i="2"/>
  <c r="E172" i="2"/>
  <c r="W61" i="2"/>
  <c r="E170" i="2"/>
  <c r="E64" i="2"/>
  <c r="E176" i="2"/>
  <c r="E63" i="2"/>
  <c r="W63" i="2"/>
  <c r="E177" i="2"/>
  <c r="AK78" i="2"/>
  <c r="S161" i="2"/>
  <c r="S160" i="2"/>
  <c r="K59" i="2"/>
  <c r="R59" i="2"/>
  <c r="G123" i="2"/>
  <c r="G142" i="2"/>
  <c r="G145" i="2"/>
  <c r="I90" i="2"/>
  <c r="AA63" i="2"/>
  <c r="F59" i="2"/>
  <c r="AB59" i="2"/>
  <c r="J61" i="2"/>
  <c r="AK87" i="2"/>
  <c r="S166" i="2"/>
  <c r="AE78" i="2"/>
  <c r="M160" i="2"/>
  <c r="M161" i="2"/>
  <c r="L58" i="2"/>
  <c r="AD58" i="2"/>
  <c r="E18" i="3"/>
  <c r="AD57" i="2"/>
  <c r="L142" i="2"/>
  <c r="L145" i="2"/>
  <c r="L123" i="2"/>
  <c r="L127" i="2"/>
  <c r="M166" i="2"/>
  <c r="AE87" i="2"/>
  <c r="Y57" i="2"/>
  <c r="G58" i="2"/>
  <c r="Y58" i="2"/>
  <c r="S171" i="2"/>
  <c r="U90" i="2"/>
  <c r="D90" i="2"/>
  <c r="C93" i="2"/>
  <c r="AH59" i="2"/>
  <c r="P61" i="2"/>
  <c r="O93" i="2"/>
  <c r="O29" i="2"/>
  <c r="M142" i="2"/>
  <c r="M145" i="2"/>
  <c r="AE57" i="2"/>
  <c r="S58" i="2"/>
  <c r="AK58" i="2"/>
  <c r="Q61" i="2"/>
  <c r="AI61" i="2"/>
  <c r="S123" i="2"/>
  <c r="S126" i="2"/>
  <c r="S128" i="2"/>
  <c r="S130" i="2"/>
  <c r="S133" i="2"/>
  <c r="S135" i="2"/>
  <c r="S136" i="2"/>
  <c r="S137" i="2"/>
  <c r="L59" i="2"/>
  <c r="L61" i="2"/>
  <c r="G59" i="2"/>
  <c r="G61" i="2"/>
  <c r="E90" i="2"/>
  <c r="V90" i="2"/>
  <c r="D93" i="2"/>
  <c r="F61" i="2"/>
  <c r="X59" i="2"/>
  <c r="K61" i="2"/>
  <c r="AC59" i="2"/>
  <c r="P170" i="2"/>
  <c r="P64" i="2"/>
  <c r="P176" i="2"/>
  <c r="AH61" i="2"/>
  <c r="P63" i="2"/>
  <c r="P172" i="2"/>
  <c r="P177" i="2"/>
  <c r="J170" i="2"/>
  <c r="J63" i="2"/>
  <c r="AB63" i="2"/>
  <c r="J172" i="2"/>
  <c r="J64" i="2"/>
  <c r="J176" i="2"/>
  <c r="AB61" i="2"/>
  <c r="J177" i="2"/>
  <c r="G126" i="2"/>
  <c r="G128" i="2"/>
  <c r="G130" i="2"/>
  <c r="G133" i="2"/>
  <c r="G135" i="2"/>
  <c r="G136" i="2"/>
  <c r="G137" i="2"/>
  <c r="AA90" i="2"/>
  <c r="I93" i="2"/>
  <c r="C179" i="2"/>
  <c r="C178" i="2"/>
  <c r="C31" i="2"/>
  <c r="U93" i="2"/>
  <c r="C32" i="2"/>
  <c r="C29" i="2"/>
  <c r="C30" i="2"/>
  <c r="C94" i="2"/>
  <c r="C173" i="2"/>
  <c r="M59" i="2"/>
  <c r="R61" i="2"/>
  <c r="AJ59" i="2"/>
  <c r="M126" i="2"/>
  <c r="M128" i="2"/>
  <c r="M130" i="2"/>
  <c r="M133" i="2"/>
  <c r="M135" i="2"/>
  <c r="M136" i="2"/>
  <c r="M137" i="2"/>
  <c r="O94" i="2"/>
  <c r="O97" i="2"/>
  <c r="AG93" i="2"/>
  <c r="Y59" i="2"/>
  <c r="O30" i="2"/>
  <c r="O32" i="2"/>
  <c r="O31" i="2"/>
  <c r="O179" i="2"/>
  <c r="O178" i="2"/>
  <c r="O173" i="2"/>
  <c r="S59" i="2"/>
  <c r="S61" i="2"/>
  <c r="S177" i="2"/>
  <c r="Q172" i="2"/>
  <c r="J90" i="2"/>
  <c r="J93" i="2"/>
  <c r="AD59" i="2"/>
  <c r="Q63" i="2"/>
  <c r="AI63" i="2"/>
  <c r="Q177" i="2"/>
  <c r="Q170" i="2"/>
  <c r="G127" i="2"/>
  <c r="Q64" i="2"/>
  <c r="Q176" i="2"/>
  <c r="M127" i="2"/>
  <c r="AB90" i="2"/>
  <c r="S127" i="2"/>
  <c r="AK59" i="2"/>
  <c r="AH63" i="2"/>
  <c r="P90" i="2"/>
  <c r="V93" i="2"/>
  <c r="D179" i="2"/>
  <c r="D178" i="2"/>
  <c r="D32" i="2"/>
  <c r="D31" i="2"/>
  <c r="D30" i="2"/>
  <c r="D29" i="2"/>
  <c r="D94" i="2"/>
  <c r="D173" i="2"/>
  <c r="R64" i="2"/>
  <c r="R176" i="2"/>
  <c r="Q24" i="3"/>
  <c r="R172" i="2"/>
  <c r="F9" i="3"/>
  <c r="R170" i="2"/>
  <c r="D11" i="3"/>
  <c r="AJ61" i="2"/>
  <c r="R63" i="2"/>
  <c r="AJ63" i="2"/>
  <c r="R177" i="2"/>
  <c r="I32" i="2"/>
  <c r="I179" i="2"/>
  <c r="I178" i="2"/>
  <c r="AA93" i="2"/>
  <c r="I30" i="2"/>
  <c r="I31" i="2"/>
  <c r="I29" i="2"/>
  <c r="I94" i="2"/>
  <c r="I173" i="2"/>
  <c r="G177" i="2"/>
  <c r="K64" i="2"/>
  <c r="K176" i="2"/>
  <c r="K170" i="2"/>
  <c r="K63" i="2"/>
  <c r="AC63" i="2"/>
  <c r="AC61" i="2"/>
  <c r="K172" i="2"/>
  <c r="K177" i="2"/>
  <c r="L63" i="2"/>
  <c r="AD63" i="2"/>
  <c r="L64" i="2"/>
  <c r="L176" i="2"/>
  <c r="Q23" i="3"/>
  <c r="L170" i="2"/>
  <c r="D10" i="3"/>
  <c r="AD61" i="2"/>
  <c r="L172" i="2"/>
  <c r="F8" i="3"/>
  <c r="L177" i="2"/>
  <c r="F170" i="2"/>
  <c r="D9" i="3"/>
  <c r="F63" i="2"/>
  <c r="X63" i="2"/>
  <c r="F172" i="2"/>
  <c r="F7" i="3"/>
  <c r="X61" i="2"/>
  <c r="F64" i="2"/>
  <c r="F176" i="2"/>
  <c r="Q22" i="3"/>
  <c r="F177" i="2"/>
  <c r="U94" i="2"/>
  <c r="C97" i="2"/>
  <c r="AE59" i="2"/>
  <c r="M61" i="2"/>
  <c r="M177" i="2"/>
  <c r="Y61" i="2"/>
  <c r="G170" i="2"/>
  <c r="G64" i="2"/>
  <c r="G176" i="2"/>
  <c r="G172" i="2"/>
  <c r="G63" i="2"/>
  <c r="Y63" i="2"/>
  <c r="W90" i="2"/>
  <c r="E93" i="2"/>
  <c r="AG94" i="2"/>
  <c r="F90" i="2"/>
  <c r="F93" i="2"/>
  <c r="V94" i="2"/>
  <c r="D97" i="2"/>
  <c r="AB93" i="2"/>
  <c r="J32" i="2"/>
  <c r="J179" i="2"/>
  <c r="J178" i="2"/>
  <c r="J30" i="2"/>
  <c r="J29" i="2"/>
  <c r="J31" i="2"/>
  <c r="J94" i="2"/>
  <c r="J173" i="2"/>
  <c r="AA94" i="2"/>
  <c r="I97" i="2"/>
  <c r="S63" i="2"/>
  <c r="AK63" i="2"/>
  <c r="S64" i="2"/>
  <c r="S176" i="2"/>
  <c r="AK61" i="2"/>
  <c r="S170" i="2"/>
  <c r="S172" i="2"/>
  <c r="E179" i="2"/>
  <c r="E178" i="2"/>
  <c r="E32" i="2"/>
  <c r="W93" i="2"/>
  <c r="E29" i="2"/>
  <c r="E30" i="2"/>
  <c r="E31" i="2"/>
  <c r="E94" i="2"/>
  <c r="E173" i="2"/>
  <c r="Q90" i="2"/>
  <c r="AH90" i="2"/>
  <c r="P93" i="2"/>
  <c r="M172" i="2"/>
  <c r="AE61" i="2"/>
  <c r="M64" i="2"/>
  <c r="M176" i="2"/>
  <c r="M170" i="2"/>
  <c r="M63" i="2"/>
  <c r="AE63" i="2"/>
  <c r="K90" i="2"/>
  <c r="X90" i="2"/>
  <c r="G90" i="2"/>
  <c r="Y90" i="2"/>
  <c r="W94" i="2"/>
  <c r="E97" i="2"/>
  <c r="L90" i="2"/>
  <c r="AC90" i="2"/>
  <c r="K93" i="2"/>
  <c r="AI90" i="2"/>
  <c r="R90" i="2"/>
  <c r="Q93" i="2"/>
  <c r="P32" i="2"/>
  <c r="AH93" i="2"/>
  <c r="P179" i="2"/>
  <c r="P178" i="2"/>
  <c r="P29" i="2"/>
  <c r="P30" i="2"/>
  <c r="P31" i="2"/>
  <c r="P94" i="2"/>
  <c r="P173" i="2"/>
  <c r="Q17" i="3"/>
  <c r="F32" i="2"/>
  <c r="F179" i="2"/>
  <c r="F178" i="2"/>
  <c r="Q27" i="3"/>
  <c r="X93" i="2"/>
  <c r="F31" i="2"/>
  <c r="F29" i="2"/>
  <c r="F30" i="2"/>
  <c r="F94" i="2"/>
  <c r="F173" i="2"/>
  <c r="I4" i="3"/>
  <c r="AB94" i="2"/>
  <c r="J97" i="2"/>
  <c r="G93" i="2"/>
  <c r="G32" i="2"/>
  <c r="AD90" i="2"/>
  <c r="M90" i="2"/>
  <c r="L93" i="2"/>
  <c r="X94" i="2"/>
  <c r="F97" i="2"/>
  <c r="AI93" i="2"/>
  <c r="Q32" i="2"/>
  <c r="Q179" i="2"/>
  <c r="Q178" i="2"/>
  <c r="Q30" i="2"/>
  <c r="Q29" i="2"/>
  <c r="Q31" i="2"/>
  <c r="Q94" i="2"/>
  <c r="Q173" i="2"/>
  <c r="AH94" i="2"/>
  <c r="P97" i="2"/>
  <c r="AJ90" i="2"/>
  <c r="S90" i="2"/>
  <c r="R93" i="2"/>
  <c r="K179" i="2"/>
  <c r="K178" i="2"/>
  <c r="K32" i="2"/>
  <c r="AC93" i="2"/>
  <c r="K30" i="2"/>
  <c r="K29" i="2"/>
  <c r="K31" i="2"/>
  <c r="K94" i="2"/>
  <c r="K173" i="2"/>
  <c r="G173" i="2"/>
  <c r="G30" i="2"/>
  <c r="G94" i="2"/>
  <c r="Y94" i="2"/>
  <c r="Y93" i="2"/>
  <c r="G29" i="2"/>
  <c r="G179" i="2"/>
  <c r="G178" i="2"/>
  <c r="G31" i="2"/>
  <c r="AI94" i="2"/>
  <c r="Q97" i="2"/>
  <c r="L179" i="2"/>
  <c r="L178" i="2"/>
  <c r="Q28" i="3"/>
  <c r="AD93" i="2"/>
  <c r="Q18" i="3"/>
  <c r="L32" i="2"/>
  <c r="L30" i="2"/>
  <c r="L29" i="2"/>
  <c r="L31" i="2"/>
  <c r="L94" i="2"/>
  <c r="L173" i="2"/>
  <c r="I5" i="3"/>
  <c r="R32" i="2"/>
  <c r="Q19" i="3"/>
  <c r="R179" i="2"/>
  <c r="R178" i="2"/>
  <c r="Q29" i="3"/>
  <c r="AJ93" i="2"/>
  <c r="R30" i="2"/>
  <c r="R31" i="2"/>
  <c r="R29" i="2"/>
  <c r="R94" i="2"/>
  <c r="R173" i="2"/>
  <c r="I6" i="3"/>
  <c r="AE90" i="2"/>
  <c r="M93" i="2"/>
  <c r="AC94" i="2"/>
  <c r="K97" i="2"/>
  <c r="AK90" i="2"/>
  <c r="S93" i="2"/>
  <c r="G97" i="2"/>
  <c r="S32" i="2"/>
  <c r="S179" i="2"/>
  <c r="S178" i="2"/>
  <c r="AK93" i="2"/>
  <c r="S30" i="2"/>
  <c r="S29" i="2"/>
  <c r="S31" i="2"/>
  <c r="S94" i="2"/>
  <c r="S173" i="2"/>
  <c r="M32" i="2"/>
  <c r="M179" i="2"/>
  <c r="M178" i="2"/>
  <c r="AE93" i="2"/>
  <c r="M31" i="2"/>
  <c r="M30" i="2"/>
  <c r="M29" i="2"/>
  <c r="M94" i="2"/>
  <c r="M173" i="2"/>
  <c r="AD94" i="2"/>
  <c r="L97" i="2"/>
  <c r="AJ94" i="2"/>
  <c r="R97" i="2"/>
  <c r="AK94" i="2"/>
  <c r="S97" i="2"/>
  <c r="AE94" i="2"/>
  <c r="M97" i="2"/>
</calcChain>
</file>

<file path=xl/sharedStrings.xml><?xml version="1.0" encoding="utf-8"?>
<sst xmlns="http://schemas.openxmlformats.org/spreadsheetml/2006/main" count="234" uniqueCount="189">
  <si>
    <t>SCENARIO A</t>
  </si>
  <si>
    <t>SCENARIO B</t>
  </si>
  <si>
    <t>Actual</t>
  </si>
  <si>
    <t>Projected</t>
  </si>
  <si>
    <t>Inputs</t>
  </si>
  <si>
    <t>COGS / Sales</t>
  </si>
  <si>
    <t>Depreciation / Net plant &amp; equip.</t>
  </si>
  <si>
    <t>Cash / Sales</t>
  </si>
  <si>
    <t>Accounts Rec. / Sales</t>
  </si>
  <si>
    <t>Inventory / Sales</t>
  </si>
  <si>
    <t>Other current assets / sales</t>
  </si>
  <si>
    <t>Other assets</t>
  </si>
  <si>
    <t>Accounts Pay. / Sales</t>
  </si>
  <si>
    <t>Accruals / Sales</t>
  </si>
  <si>
    <t>Other spon. funds / Sales</t>
  </si>
  <si>
    <t>Interest rate on ST debt</t>
  </si>
  <si>
    <t>Interest rate on LT debt</t>
  </si>
  <si>
    <t>Tax rate</t>
  </si>
  <si>
    <t>Dividend rate on preferred stock</t>
  </si>
  <si>
    <t>Dividend growth rate</t>
  </si>
  <si>
    <t>IF AFN IS POSITIVE:</t>
  </si>
  <si>
    <t>Funds raised as notes payable</t>
  </si>
  <si>
    <t>Funds raised as long-term debt</t>
  </si>
  <si>
    <t>Funds raised as preferred stock</t>
  </si>
  <si>
    <t>Funds raised as new common stock</t>
  </si>
  <si>
    <t>Capital structure - notes payable</t>
  </si>
  <si>
    <t>Capital structure - long term bonds</t>
  </si>
  <si>
    <t>Capital structure - preferred stock</t>
  </si>
  <si>
    <t>IF AFN IS NEGATIVE: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</si>
  <si>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PERCENTAGES ASSIGNED FOR ASSETS!</t>
    </r>
  </si>
  <si>
    <t>Plug in to ST Investments</t>
  </si>
  <si>
    <t>Pay down short-term debt</t>
  </si>
  <si>
    <t>Pay down long-term debt</t>
  </si>
  <si>
    <t>Buy treasury stock</t>
  </si>
  <si>
    <t>Pay dividend</t>
  </si>
  <si>
    <t>Price-To-FCF Ratio</t>
  </si>
  <si>
    <t>Constant growth rate of FCF</t>
  </si>
  <si>
    <t>WACC</t>
  </si>
  <si>
    <t>PERCENT OF SALES ANALYSIS</t>
  </si>
  <si>
    <t>Number of shares of common stock</t>
  </si>
  <si>
    <t>Sales</t>
  </si>
  <si>
    <t>COGS</t>
  </si>
  <si>
    <t>Depreciation</t>
  </si>
  <si>
    <t>Taxes</t>
  </si>
  <si>
    <t>Dividends to common</t>
  </si>
  <si>
    <t>Addition to retained earnings</t>
  </si>
  <si>
    <t>EPS</t>
  </si>
  <si>
    <t>DPS</t>
  </si>
  <si>
    <t>Assets</t>
  </si>
  <si>
    <t>Accounts receivable</t>
  </si>
  <si>
    <t>Inventories</t>
  </si>
  <si>
    <t>Other current assets</t>
  </si>
  <si>
    <t>Total current assets</t>
  </si>
  <si>
    <t>Total assets</t>
  </si>
  <si>
    <t>Liabilities and equity</t>
  </si>
  <si>
    <t xml:space="preserve"> </t>
  </si>
  <si>
    <t>Accounts payable</t>
  </si>
  <si>
    <t>Accruals</t>
  </si>
  <si>
    <t>Notes payable</t>
  </si>
  <si>
    <t>Total current liabilities</t>
  </si>
  <si>
    <t>Total debt</t>
  </si>
  <si>
    <t>Total common equity</t>
  </si>
  <si>
    <t>Total liabilities and equity</t>
  </si>
  <si>
    <t>Calcuations for Additional funds needed (AFN):</t>
  </si>
  <si>
    <t>Balance (total assets - total liab. &amp; equity)</t>
  </si>
  <si>
    <t>Additional funds needed (AFN)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</si>
  <si>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DRAWING BOARD IN YOUR INPUT AREA!!</t>
    </r>
  </si>
  <si>
    <t>Pay additional dividend</t>
  </si>
  <si>
    <t>Additional interest expense</t>
  </si>
  <si>
    <t>Additional common dividends</t>
  </si>
  <si>
    <t>Additional preferred dividends</t>
  </si>
  <si>
    <t>Calculations for free cash flow (FCF):</t>
  </si>
  <si>
    <t>NOPAT</t>
  </si>
  <si>
    <t>Operating Capital</t>
  </si>
  <si>
    <t>Investment in operating capital</t>
  </si>
  <si>
    <t>Free cash flow</t>
  </si>
  <si>
    <t>Calculations for value of the firm:</t>
  </si>
  <si>
    <t>Horizon value</t>
  </si>
  <si>
    <t>Cash flows</t>
  </si>
  <si>
    <t>Value of operation</t>
  </si>
  <si>
    <t>Non-operating capital</t>
  </si>
  <si>
    <t>Value of the firm</t>
  </si>
  <si>
    <t>Calculations for estimated stock price (intrinsic value):</t>
  </si>
  <si>
    <t>Value of debt and preferred stock</t>
  </si>
  <si>
    <t>Value of total common equity</t>
  </si>
  <si>
    <t>MVPS</t>
  </si>
  <si>
    <t>Calculations for financial ratios:</t>
  </si>
  <si>
    <t>Ratio</t>
  </si>
  <si>
    <t>Liquidity</t>
  </si>
  <si>
    <t>Current</t>
  </si>
  <si>
    <t>Quick ratio (acid-test ratio)</t>
  </si>
  <si>
    <t>Asset Management</t>
  </si>
  <si>
    <t>Inventory turnover (Times)</t>
  </si>
  <si>
    <t>Inventory turnover (Days)</t>
  </si>
  <si>
    <t>Accounts receivables turnover</t>
  </si>
  <si>
    <t>Days sales outstanding (DSO)</t>
  </si>
  <si>
    <t>Fixed assets turnover</t>
  </si>
  <si>
    <t>Total assets turnover</t>
  </si>
  <si>
    <t>Accounts payables turnover (Days)</t>
  </si>
  <si>
    <t>Cash cycle</t>
  </si>
  <si>
    <t>Debt Management</t>
  </si>
  <si>
    <t>Total debt to total assets</t>
  </si>
  <si>
    <t>Times-interest-earned (TIE)</t>
  </si>
  <si>
    <t xml:space="preserve">  EBITDA Coverage Ratio</t>
  </si>
  <si>
    <t>Profitability</t>
  </si>
  <si>
    <t>Profit margin on sales (NPM)</t>
  </si>
  <si>
    <t>Basic earning power (BEP)</t>
  </si>
  <si>
    <t>Return on total assets (ROA)</t>
  </si>
  <si>
    <t>Return on common equity (ROE)</t>
  </si>
  <si>
    <t>Market value</t>
  </si>
  <si>
    <t>Price/earnings ratio (P/E)</t>
  </si>
  <si>
    <t>Price/cash flow ratio (P/CF)</t>
  </si>
  <si>
    <t xml:space="preserve">  Market-to-Book Ratio</t>
  </si>
  <si>
    <t>Book Value Per Share</t>
  </si>
  <si>
    <t>Legend:</t>
  </si>
  <si>
    <t>Return on Equity</t>
  </si>
  <si>
    <t>ROA</t>
  </si>
  <si>
    <t>Net Profit Margin</t>
  </si>
  <si>
    <t>Total Assets turnover</t>
  </si>
  <si>
    <t>Debt ratio</t>
  </si>
  <si>
    <t>Net Profits After Taxes</t>
    <phoneticPr fontId="0" type="noConversion"/>
  </si>
  <si>
    <t>Total Liabilities</t>
  </si>
  <si>
    <t>Common Equity</t>
  </si>
  <si>
    <t>Op. Exp.</t>
  </si>
  <si>
    <t>Interest</t>
  </si>
  <si>
    <t>Other Non-Op. Exp.</t>
    <phoneticPr fontId="2" type="noConversion"/>
  </si>
  <si>
    <t>Sales</t>
    <phoneticPr fontId="0" type="noConversion"/>
  </si>
  <si>
    <t>CA</t>
  </si>
  <si>
    <t>NFA</t>
  </si>
  <si>
    <t>C.L</t>
  </si>
  <si>
    <t>L.L</t>
  </si>
  <si>
    <t>Equity</t>
  </si>
  <si>
    <t>Cash Cycle</t>
  </si>
  <si>
    <t>Inv. T-O</t>
    <phoneticPr fontId="0" type="noConversion"/>
  </si>
  <si>
    <t>DSO</t>
  </si>
  <si>
    <t>FAT</t>
  </si>
  <si>
    <t>Current ratio</t>
  </si>
  <si>
    <t>TIE</t>
  </si>
  <si>
    <t>P/E</t>
  </si>
  <si>
    <t>Quick ratio</t>
  </si>
  <si>
    <t>Op. PM</t>
  </si>
  <si>
    <t>M/B</t>
  </si>
  <si>
    <t>Plug in to other non-op. assets</t>
  </si>
  <si>
    <t>Intrinsic value per share</t>
    <phoneticPr fontId="2" type="noConversion"/>
  </si>
  <si>
    <t>Sales [revenues]</t>
  </si>
  <si>
    <t>Costs of goods sold</t>
  </si>
  <si>
    <t>Operating expenses excluding depreciation</t>
  </si>
  <si>
    <t>Earnings before interest and taxes [EBIT]</t>
  </si>
  <si>
    <t>Earnings before taxes [EBT]</t>
  </si>
  <si>
    <t>Net Income before preferred dividends</t>
  </si>
  <si>
    <t>Net Income [NI available to common]</t>
  </si>
  <si>
    <t>Cash and equivalents</t>
  </si>
  <si>
    <t>Short-term investments</t>
  </si>
  <si>
    <t>Total Assets</t>
  </si>
  <si>
    <t>Retained earnings [accumulated deficit]</t>
  </si>
  <si>
    <t>Treasury stock</t>
  </si>
  <si>
    <t>Sales Growth</t>
    <phoneticPr fontId="2" type="noConversion"/>
  </si>
  <si>
    <t>Capital structure - external common equity</t>
    <phoneticPr fontId="2" type="noConversion"/>
  </si>
  <si>
    <t>Other comprehensive income &amp; adjustments</t>
  </si>
  <si>
    <t>Common stock [par &amp; paid-in excess]</t>
  </si>
  <si>
    <t>Stock price</t>
  </si>
  <si>
    <t>Dividend per share (current year)</t>
  </si>
  <si>
    <t>Additional new shares of common stock</t>
  </si>
  <si>
    <t>INCOME STATEMENT</t>
  </si>
  <si>
    <t>BALANCE SHEET</t>
  </si>
  <si>
    <t>Alternative WACC</t>
  </si>
  <si>
    <t>A: NOPAT as % of sales</t>
  </si>
  <si>
    <t>B: Op. Cap. as % of sales</t>
  </si>
  <si>
    <t>g: Sales growth</t>
  </si>
  <si>
    <t>A/B</t>
  </si>
  <si>
    <t>g/(1+g)</t>
  </si>
  <si>
    <t>`</t>
  </si>
  <si>
    <t>Alternative FCF g</t>
  </si>
  <si>
    <t>Preferred dividends and/or distribution to minority interest</t>
  </si>
  <si>
    <t>Less interest (net of interest income)</t>
  </si>
  <si>
    <t>Intangibles &amp; other LT operating assets</t>
  </si>
  <si>
    <t>Long-term investments</t>
  </si>
  <si>
    <t>Net PP&amp;E</t>
  </si>
  <si>
    <t>Net PP&amp;E / sales</t>
  </si>
  <si>
    <t>Plug in to LT Investments</t>
  </si>
  <si>
    <t>Long-term debt &amp; other LT liabilities</t>
  </si>
  <si>
    <t>Operating expenses / Sales</t>
  </si>
  <si>
    <t>Alternative sales g</t>
  </si>
  <si>
    <t>Total operating expense [excluding COGS]</t>
  </si>
  <si>
    <t>Preferred stock &amp; minority interest</t>
  </si>
  <si>
    <t>Non-operating expense or loss/(income)</t>
  </si>
  <si>
    <t>Non-operating expenses /Sales</t>
  </si>
  <si>
    <t>Deferred income taxes &amp; other Op. liab.</t>
  </si>
  <si>
    <t>ELIZABETH ARDEN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</si>
</sst>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3" formatCode="_(* #,##0.00_);_(* \(#,##0.00\);_(* &quot;-&quot;??_);_(@_)"/>
    <numFmt numFmtId="164" formatCode="&quot;Current Year:  &quot;0"/>
    <numFmt numFmtId="165" formatCode="0.0%"/>
    <numFmt numFmtId="166" formatCode="&quot;$&quot;#,##0.00"/>
    <numFmt numFmtId="167" formatCode="&quot;$&quot;#,##0.0"/>
    <numFmt numFmtId="168" formatCode="_(&quot;$&quot;* #,##0.0_);_(&quot;$&quot;* \(#,##0.0\);_(&quot;$&quot;* &quot;-&quot;_);_(@_)"/>
    <numFmt numFmtId="169" formatCode="0.00&quot; X&quot;;[Red]\(0.00\)&quot; X&quot;"/>
    <numFmt numFmtId="170" formatCode="0.00&quot; times&quot;;[Red]\(0.00\)&quot; times&quot;"/>
    <numFmt numFmtId="171" formatCode="0.00&quot; days&quot;;[Red]\(0.00\)&quot; days&quot;"/>
    <numFmt numFmtId="172" formatCode="0.0"/>
    <numFmt numFmtId="173" formatCode="&quot;Year &quot;0&quot; Comparison&quot;"/>
    <numFmt numFmtId="174" formatCode="&quot;$&quot;#,##0"/>
    <numFmt numFmtId="175" formatCode="_(* #,##0_);_(* \(#,##0\);_(* &quot;-&quot;??_);_(@_)"/>
    <numFmt numFmtId="176" formatCode="0.0&quot; days&quot;"/>
    <numFmt numFmtId="177" formatCode="0.0&quot; X&quot;;[Red]\(0.0\)&quot; X&quot;"/>
    <numFmt numFmtId="178" formatCode="#,##0.0"/>
    <numFmt numFmtId="179" formatCode="@\ &quot;BASELINE&quot;"/>
    <numFmt numFmtId="180" formatCode="&quot;Statements in $&quot;#,##0"/>
    <numFmt numFmtId="181" formatCode="0.0000_);\(0.0000\)"/>
  </numFmts>
  <fonts count="53" x14ac:knownFonts="1">
    <font>
      <sz val="10"/>
      <name val="Arial"/>
      <family val="2"/>
    </font>
    <font>
      <sz val="9"/>
      <name val="新細明體"/>
      <family val="1"/>
      <charset val="136"/>
    </font>
    <font>
      <sz val="8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color indexed="17"/>
      <name val="Arial"/>
      <family val="2"/>
    </font>
    <font>
      <b/>
      <sz val="10"/>
      <color indexed="25"/>
      <name val="Arial"/>
      <family val="2"/>
    </font>
    <font>
      <b/>
      <sz val="10"/>
      <name val="Times New Roman"/>
      <family val="1"/>
    </font>
    <font>
      <b/>
      <sz val="12"/>
      <color indexed="60"/>
      <name val="Times New Roman"/>
      <family val="1"/>
    </font>
    <font>
      <b/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b/>
      <sz val="10"/>
      <name val="Arial"/>
      <family val="2"/>
    </font>
    <font>
      <b/>
      <sz val="1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18"/>
      <name val="Arial"/>
      <family val="2"/>
    </font>
    <font>
      <b/>
      <sz val="10"/>
      <color indexed="16"/>
      <name val="Times New Roman"/>
      <family val="1"/>
    </font>
    <font>
      <b/>
      <i/>
      <sz val="10"/>
      <name val="Times New Roman"/>
      <family val="1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sz val="10"/>
      <color indexed="55"/>
      <name val="Times New Roman"/>
      <family val="1"/>
    </font>
    <font>
      <b/>
      <sz val="10"/>
      <color indexed="18"/>
      <name val="Times New Roman"/>
      <family val="1"/>
    </font>
    <font>
      <b/>
      <sz val="10"/>
      <color indexed="21"/>
      <name val="Times New Roman"/>
      <family val="1"/>
    </font>
    <font>
      <b/>
      <i/>
      <sz val="12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b/>
      <i/>
      <sz val="12"/>
      <color indexed="9"/>
      <name val="Times New Roman"/>
      <family val="1"/>
    </font>
    <font>
      <sz val="10"/>
      <color indexed="10"/>
      <name val="Arial"/>
      <family val="2"/>
    </font>
    <font>
      <sz val="10"/>
      <color indexed="22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10"/>
      <color indexed="46"/>
      <name val="Times New Roman"/>
      <family val="1"/>
    </font>
    <font>
      <b/>
      <sz val="11"/>
      <color indexed="61"/>
      <name val="Arial"/>
      <family val="2"/>
    </font>
    <font>
      <b/>
      <sz val="12"/>
      <color indexed="17"/>
      <name val="Arial"/>
      <family val="2"/>
    </font>
    <font>
      <b/>
      <sz val="12"/>
      <color indexed="25"/>
      <name val="Arial"/>
      <family val="2"/>
    </font>
    <font>
      <b/>
      <sz val="12"/>
      <color indexed="18"/>
      <name val="Arial"/>
      <family val="2"/>
    </font>
    <font>
      <b/>
      <sz val="11"/>
      <name val="Arial"/>
      <family val="2"/>
    </font>
    <font>
      <b/>
      <sz val="12"/>
      <color indexed="62"/>
      <name val="Ariel"/>
    </font>
    <font>
      <b/>
      <sz val="12"/>
      <color indexed="17"/>
      <name val="Ariel"/>
    </font>
    <font>
      <b/>
      <sz val="12"/>
      <color indexed="25"/>
      <name val="Ariel"/>
    </font>
    <font>
      <b/>
      <sz val="11"/>
      <name val="Ariel"/>
    </font>
    <font>
      <sz val="10"/>
      <color indexed="16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indexed="12"/>
      <name val="Times New Roman"/>
      <family val="1"/>
    </font>
    <font>
      <sz val="10"/>
      <name val="Arial"/>
      <family val="2"/>
    </font>
    <font>
      <sz val="10"/>
      <color indexed="18"/>
      <name val="Times New Roman"/>
      <family val="1"/>
    </font>
    <font>
      <b/>
      <sz val="10"/>
      <color theme="0"/>
      <name val="Times New Roman"/>
      <family val="1"/>
    </font>
    <font>
      <sz val="10"/>
      <color rgb="FFEAEAEA"/>
      <name val="Arial"/>
      <family val="2"/>
    </font>
    <font>
      <b/>
      <sz val="10"/>
      <color rgb="FFEAEAEA"/>
      <name val="Times New Roman"/>
      <family val="1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6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26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auto="1"/>
      </right>
      <top style="medium">
        <color indexed="8"/>
      </top>
      <bottom/>
      <diagonal/>
    </border>
    <border>
      <left/>
      <right style="medium">
        <color auto="1"/>
      </right>
      <top style="thick">
        <color indexed="10"/>
      </top>
      <bottom style="thick">
        <color indexed="10"/>
      </bottom>
      <diagonal/>
    </border>
    <border>
      <left style="medium">
        <color auto="1"/>
      </left>
      <right style="thick">
        <color indexed="10"/>
      </right>
      <top/>
      <bottom/>
      <diagonal/>
    </border>
    <border>
      <left style="medium">
        <color auto="1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8"/>
      </top>
      <bottom/>
      <diagonal/>
    </border>
    <border>
      <left style="medium">
        <color auto="1"/>
      </left>
      <right/>
      <top style="thick">
        <color indexed="25"/>
      </top>
      <bottom/>
      <diagonal/>
    </border>
    <border>
      <left/>
      <right/>
      <top style="thick">
        <color indexed="25"/>
      </top>
      <bottom/>
      <diagonal/>
    </border>
    <border>
      <left/>
      <right style="medium">
        <color auto="1"/>
      </right>
      <top style="thick">
        <color indexed="25"/>
      </top>
      <bottom/>
      <diagonal/>
    </border>
    <border>
      <left/>
      <right/>
      <top/>
      <bottom style="thick">
        <color indexed="18"/>
      </bottom>
      <diagonal/>
    </border>
    <border>
      <left style="medium">
        <color auto="1"/>
      </left>
      <right/>
      <top/>
      <bottom style="thick">
        <color indexed="17"/>
      </bottom>
      <diagonal/>
    </border>
    <border>
      <left/>
      <right/>
      <top/>
      <bottom style="thick">
        <color indexed="17"/>
      </bottom>
      <diagonal/>
    </border>
    <border>
      <left/>
      <right style="medium">
        <color auto="1"/>
      </right>
      <top/>
      <bottom style="thick">
        <color indexed="17"/>
      </bottom>
      <diagonal/>
    </border>
    <border>
      <left style="medium">
        <color auto="1"/>
      </left>
      <right/>
      <top/>
      <bottom style="thick">
        <color indexed="25"/>
      </bottom>
      <diagonal/>
    </border>
    <border>
      <left/>
      <right/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25"/>
      </bottom>
      <diagonal/>
    </border>
    <border>
      <left/>
      <right style="medium">
        <color auto="1"/>
      </right>
      <top/>
      <bottom style="thick">
        <color indexed="18"/>
      </bottom>
      <diagonal/>
    </border>
    <border>
      <left/>
      <right/>
      <top style="double">
        <color indexed="10"/>
      </top>
      <bottom/>
      <diagonal/>
    </border>
    <border>
      <left/>
      <right style="medium">
        <color auto="1"/>
      </right>
      <top style="double">
        <color indexed="10"/>
      </top>
      <bottom/>
      <diagonal/>
    </border>
    <border>
      <left style="medium">
        <color auto="1"/>
      </left>
      <right/>
      <top style="double">
        <color indexed="10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ck">
        <color indexed="17"/>
      </bottom>
      <diagonal/>
    </border>
    <border>
      <left/>
      <right style="medium">
        <color indexed="8"/>
      </right>
      <top/>
      <bottom style="thick">
        <color indexed="17"/>
      </bottom>
      <diagonal/>
    </border>
    <border>
      <left style="medium">
        <color indexed="8"/>
      </left>
      <right/>
      <top/>
      <bottom style="thick">
        <color indexed="25"/>
      </bottom>
      <diagonal/>
    </border>
    <border>
      <left/>
      <right style="medium">
        <color indexed="8"/>
      </right>
      <top/>
      <bottom style="thick">
        <color indexed="25"/>
      </bottom>
      <diagonal/>
    </border>
    <border>
      <left style="double">
        <color indexed="16"/>
      </left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 style="double">
        <color indexed="16"/>
      </right>
      <top/>
      <bottom style="double">
        <color indexed="16"/>
      </bottom>
      <diagonal/>
    </border>
    <border>
      <left style="double">
        <color indexed="16"/>
      </left>
      <right/>
      <top/>
      <bottom style="thick">
        <color indexed="18"/>
      </bottom>
      <diagonal/>
    </border>
    <border>
      <left/>
      <right/>
      <top/>
      <bottom style="medium">
        <color indexed="48"/>
      </bottom>
      <diagonal/>
    </border>
    <border>
      <left style="medium">
        <color indexed="48"/>
      </left>
      <right/>
      <top style="medium">
        <color indexed="48"/>
      </top>
      <bottom style="medium">
        <color indexed="48"/>
      </bottom>
      <diagonal/>
    </border>
    <border>
      <left/>
      <right/>
      <top style="medium">
        <color indexed="48"/>
      </top>
      <bottom style="medium">
        <color indexed="48"/>
      </bottom>
      <diagonal/>
    </border>
    <border>
      <left/>
      <right style="medium">
        <color indexed="48"/>
      </right>
      <top style="medium">
        <color indexed="48"/>
      </top>
      <bottom style="medium">
        <color indexed="48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9" fontId="3" fillId="0" borderId="0" applyFont="0" applyFill="0" applyBorder="0" applyAlignment="0" applyProtection="0">
      <alignment vertical="center"/>
    </xf>
  </cellStyleXfs>
  <cellXfs count="451">
    <xf numFmtId="0" fontId="0" fillId="0" borderId="0" xfId="0"/>
    <xf numFmtId="0" fontId="3" fillId="0" borderId="0" xfId="3" applyAlignment="1">
      <alignment horizontal="center"/>
    </xf>
    <xf numFmtId="0" fontId="0" fillId="0" borderId="0" xfId="3" applyFont="1" applyBorder="1"/>
    <xf numFmtId="0" fontId="0" fillId="0" borderId="0" xfId="3" applyFont="1" applyBorder="1" applyAlignment="1">
      <alignment horizontal="center"/>
    </xf>
    <xf numFmtId="0" fontId="0" fillId="0" borderId="0" xfId="3" applyFont="1"/>
    <xf numFmtId="0" fontId="27" fillId="0" borderId="1" xfId="3" applyFont="1" applyBorder="1"/>
    <xf numFmtId="0" fontId="0" fillId="0" borderId="2" xfId="3" applyFont="1" applyBorder="1"/>
    <xf numFmtId="0" fontId="11" fillId="0" borderId="0" xfId="3" applyFont="1"/>
    <xf numFmtId="0" fontId="11" fillId="2" borderId="0" xfId="3" applyFont="1" applyFill="1" applyAlignment="1">
      <alignment horizontal="center"/>
    </xf>
    <xf numFmtId="0" fontId="14" fillId="0" borderId="3" xfId="3" applyFont="1" applyBorder="1"/>
    <xf numFmtId="0" fontId="0" fillId="0" borderId="4" xfId="3" applyFont="1" applyBorder="1"/>
    <xf numFmtId="10" fontId="14" fillId="2" borderId="0" xfId="3" applyNumberFormat="1" applyFont="1" applyFill="1" applyAlignment="1">
      <alignment horizontal="center"/>
    </xf>
    <xf numFmtId="0" fontId="0" fillId="0" borderId="0" xfId="3" applyFont="1" applyAlignment="1">
      <alignment horizontal="center"/>
    </xf>
    <xf numFmtId="0" fontId="5" fillId="0" borderId="3" xfId="3" applyFont="1" applyBorder="1"/>
    <xf numFmtId="0" fontId="5" fillId="0" borderId="5" xfId="3" applyFont="1" applyBorder="1"/>
    <xf numFmtId="10" fontId="5" fillId="2" borderId="0" xfId="3" applyNumberFormat="1" applyFont="1" applyFill="1" applyAlignment="1">
      <alignment horizontal="center"/>
    </xf>
    <xf numFmtId="0" fontId="6" fillId="0" borderId="6" xfId="3" applyFont="1" applyBorder="1"/>
    <xf numFmtId="0" fontId="6" fillId="0" borderId="7" xfId="3" applyFont="1" applyBorder="1"/>
    <xf numFmtId="10" fontId="6" fillId="2" borderId="0" xfId="3" applyNumberFormat="1" applyFont="1" applyFill="1" applyAlignment="1">
      <alignment horizontal="center"/>
    </xf>
    <xf numFmtId="0" fontId="11" fillId="3" borderId="0" xfId="3" applyFont="1" applyFill="1" applyAlignment="1">
      <alignment horizontal="right"/>
    </xf>
    <xf numFmtId="0" fontId="11" fillId="0" borderId="0" xfId="3" applyFont="1" applyAlignment="1">
      <alignment horizontal="center"/>
    </xf>
    <xf numFmtId="0" fontId="11" fillId="3" borderId="0" xfId="3" applyFont="1" applyFill="1" applyAlignment="1">
      <alignment horizontal="left"/>
    </xf>
    <xf numFmtId="0" fontId="11" fillId="3" borderId="0" xfId="3" applyFont="1" applyFill="1" applyAlignment="1">
      <alignment horizontal="center"/>
    </xf>
    <xf numFmtId="10" fontId="14" fillId="3" borderId="0" xfId="3" applyNumberFormat="1" applyFont="1" applyFill="1" applyAlignment="1">
      <alignment horizontal="center"/>
    </xf>
    <xf numFmtId="10" fontId="14" fillId="0" borderId="0" xfId="3" applyNumberFormat="1" applyFont="1" applyAlignment="1">
      <alignment horizontal="center"/>
    </xf>
    <xf numFmtId="2" fontId="14" fillId="3" borderId="0" xfId="3" applyNumberFormat="1" applyFont="1" applyFill="1" applyAlignment="1">
      <alignment horizontal="center"/>
    </xf>
    <xf numFmtId="165" fontId="29" fillId="0" borderId="0" xfId="3" applyNumberFormat="1" applyFont="1" applyAlignment="1">
      <alignment horizontal="center"/>
    </xf>
    <xf numFmtId="165" fontId="14" fillId="3" borderId="0" xfId="3" applyNumberFormat="1" applyFont="1" applyFill="1" applyAlignment="1">
      <alignment horizontal="center"/>
    </xf>
    <xf numFmtId="10" fontId="5" fillId="3" borderId="0" xfId="3" applyNumberFormat="1" applyFont="1" applyFill="1" applyAlignment="1">
      <alignment horizontal="center"/>
    </xf>
    <xf numFmtId="10" fontId="5" fillId="0" borderId="0" xfId="3" applyNumberFormat="1" applyFont="1" applyAlignment="1">
      <alignment horizontal="center"/>
    </xf>
    <xf numFmtId="2" fontId="5" fillId="3" borderId="0" xfId="3" applyNumberFormat="1" applyFont="1" applyFill="1" applyAlignment="1">
      <alignment horizontal="center"/>
    </xf>
    <xf numFmtId="165" fontId="0" fillId="0" borderId="0" xfId="3" applyNumberFormat="1" applyFont="1" applyAlignment="1">
      <alignment horizontal="center"/>
    </xf>
    <xf numFmtId="165" fontId="5" fillId="3" borderId="0" xfId="3" applyNumberFormat="1" applyFont="1" applyFill="1" applyAlignment="1">
      <alignment horizontal="center"/>
    </xf>
    <xf numFmtId="10" fontId="6" fillId="3" borderId="0" xfId="3" applyNumberFormat="1" applyFont="1" applyFill="1" applyAlignment="1">
      <alignment horizontal="center"/>
    </xf>
    <xf numFmtId="10" fontId="30" fillId="0" borderId="0" xfId="4" applyNumberFormat="1" applyFont="1" applyBorder="1" applyAlignment="1">
      <alignment horizontal="center"/>
    </xf>
    <xf numFmtId="2" fontId="6" fillId="3" borderId="0" xfId="3" applyNumberFormat="1" applyFont="1" applyFill="1" applyAlignment="1">
      <alignment horizontal="center"/>
    </xf>
    <xf numFmtId="165" fontId="6" fillId="3" borderId="0" xfId="3" applyNumberFormat="1" applyFont="1" applyFill="1" applyAlignment="1">
      <alignment horizontal="center"/>
    </xf>
    <xf numFmtId="0" fontId="11" fillId="4" borderId="0" xfId="3" applyFont="1" applyFill="1" applyAlignment="1">
      <alignment horizontal="center"/>
    </xf>
    <xf numFmtId="0" fontId="11" fillId="4" borderId="0" xfId="3" applyFont="1" applyFill="1"/>
    <xf numFmtId="174" fontId="11" fillId="0" borderId="0" xfId="4" applyNumberFormat="1" applyFont="1" applyBorder="1" applyAlignment="1">
      <alignment horizontal="center"/>
    </xf>
    <xf numFmtId="174" fontId="5" fillId="0" borderId="0" xfId="4" applyNumberFormat="1" applyFont="1" applyAlignment="1">
      <alignment horizontal="center"/>
    </xf>
    <xf numFmtId="174" fontId="6" fillId="4" borderId="0" xfId="4" applyNumberFormat="1" applyFont="1" applyFill="1" applyAlignment="1">
      <alignment horizontal="center"/>
    </xf>
    <xf numFmtId="0" fontId="11" fillId="5" borderId="8" xfId="3" applyFont="1" applyFill="1" applyBorder="1" applyAlignment="1">
      <alignment horizontal="center"/>
    </xf>
    <xf numFmtId="0" fontId="11" fillId="5" borderId="9" xfId="3" applyFont="1" applyFill="1" applyBorder="1" applyAlignment="1">
      <alignment horizontal="center"/>
    </xf>
    <xf numFmtId="0" fontId="11" fillId="5" borderId="10" xfId="3" applyFont="1" applyFill="1" applyBorder="1" applyAlignment="1">
      <alignment horizontal="center"/>
    </xf>
    <xf numFmtId="0" fontId="32" fillId="5" borderId="10" xfId="3" applyFont="1" applyFill="1" applyBorder="1" applyAlignment="1">
      <alignment horizontal="center" wrapText="1"/>
    </xf>
    <xf numFmtId="0" fontId="11" fillId="5" borderId="0" xfId="3" applyFont="1" applyFill="1" applyAlignment="1">
      <alignment horizontal="center"/>
    </xf>
    <xf numFmtId="9" fontId="14" fillId="5" borderId="8" xfId="4" applyFont="1" applyFill="1" applyBorder="1" applyAlignment="1">
      <alignment horizontal="center"/>
    </xf>
    <xf numFmtId="9" fontId="14" fillId="5" borderId="9" xfId="4" applyFont="1" applyFill="1" applyBorder="1" applyAlignment="1">
      <alignment horizontal="center"/>
    </xf>
    <xf numFmtId="165" fontId="14" fillId="5" borderId="10" xfId="4" applyNumberFormat="1" applyFont="1" applyFill="1" applyBorder="1" applyAlignment="1">
      <alignment horizontal="center"/>
    </xf>
    <xf numFmtId="165" fontId="14" fillId="5" borderId="0" xfId="4" applyNumberFormat="1" applyFont="1" applyFill="1" applyAlignment="1">
      <alignment horizontal="center"/>
    </xf>
    <xf numFmtId="165" fontId="14" fillId="0" borderId="0" xfId="4" applyNumberFormat="1" applyFont="1" applyAlignment="1">
      <alignment horizontal="center"/>
    </xf>
    <xf numFmtId="9" fontId="14" fillId="5" borderId="0" xfId="4" applyFont="1" applyFill="1" applyAlignment="1">
      <alignment horizontal="center"/>
    </xf>
    <xf numFmtId="9" fontId="5" fillId="5" borderId="8" xfId="4" applyFont="1" applyFill="1" applyBorder="1" applyAlignment="1">
      <alignment horizontal="center"/>
    </xf>
    <xf numFmtId="9" fontId="5" fillId="5" borderId="9" xfId="4" applyFont="1" applyFill="1" applyBorder="1" applyAlignment="1">
      <alignment horizontal="center"/>
    </xf>
    <xf numFmtId="165" fontId="5" fillId="5" borderId="10" xfId="4" applyNumberFormat="1" applyFont="1" applyFill="1" applyBorder="1" applyAlignment="1">
      <alignment horizontal="center"/>
    </xf>
    <xf numFmtId="165" fontId="5" fillId="5" borderId="0" xfId="4" applyNumberFormat="1" applyFont="1" applyFill="1" applyAlignment="1">
      <alignment horizontal="center"/>
    </xf>
    <xf numFmtId="165" fontId="5" fillId="0" borderId="0" xfId="4" applyNumberFormat="1" applyFont="1" applyAlignment="1">
      <alignment horizontal="center"/>
    </xf>
    <xf numFmtId="9" fontId="5" fillId="5" borderId="0" xfId="4" applyFont="1" applyFill="1" applyAlignment="1">
      <alignment horizontal="center"/>
    </xf>
    <xf numFmtId="9" fontId="6" fillId="5" borderId="8" xfId="4" applyFont="1" applyFill="1" applyBorder="1" applyAlignment="1">
      <alignment horizontal="center"/>
    </xf>
    <xf numFmtId="9" fontId="6" fillId="5" borderId="9" xfId="4" applyFont="1" applyFill="1" applyBorder="1" applyAlignment="1">
      <alignment horizontal="center"/>
    </xf>
    <xf numFmtId="165" fontId="6" fillId="5" borderId="10" xfId="4" applyNumberFormat="1" applyFont="1" applyFill="1" applyBorder="1" applyAlignment="1">
      <alignment horizontal="center"/>
    </xf>
    <xf numFmtId="165" fontId="6" fillId="5" borderId="0" xfId="4" applyNumberFormat="1" applyFont="1" applyFill="1" applyAlignment="1">
      <alignment horizontal="center"/>
    </xf>
    <xf numFmtId="9" fontId="6" fillId="5" borderId="0" xfId="4" applyFont="1" applyFill="1" applyAlignment="1">
      <alignment horizontal="center"/>
    </xf>
    <xf numFmtId="0" fontId="11" fillId="0" borderId="0" xfId="3" applyFont="1" applyBorder="1" applyAlignment="1">
      <alignment horizontal="center"/>
    </xf>
    <xf numFmtId="0" fontId="32" fillId="6" borderId="0" xfId="3" applyFont="1" applyFill="1" applyAlignment="1">
      <alignment horizontal="center"/>
    </xf>
    <xf numFmtId="0" fontId="11" fillId="6" borderId="8" xfId="3" applyFont="1" applyFill="1" applyBorder="1" applyAlignment="1">
      <alignment horizontal="center"/>
    </xf>
    <xf numFmtId="0" fontId="11" fillId="6" borderId="11" xfId="3" applyFont="1" applyFill="1" applyBorder="1" applyAlignment="1">
      <alignment horizontal="center"/>
    </xf>
    <xf numFmtId="0" fontId="11" fillId="6" borderId="10" xfId="3" applyFont="1" applyFill="1" applyBorder="1" applyAlignment="1">
      <alignment horizontal="center"/>
    </xf>
    <xf numFmtId="0" fontId="11" fillId="6" borderId="0" xfId="3" applyFont="1" applyFill="1" applyAlignment="1">
      <alignment horizontal="center"/>
    </xf>
    <xf numFmtId="175" fontId="29" fillId="0" borderId="0" xfId="1" applyNumberFormat="1" applyFont="1" applyAlignment="1"/>
    <xf numFmtId="9" fontId="31" fillId="0" borderId="0" xfId="4" applyFont="1" applyAlignment="1">
      <alignment horizontal="left"/>
    </xf>
    <xf numFmtId="175" fontId="29" fillId="0" borderId="0" xfId="1" applyNumberFormat="1" applyFont="1" applyBorder="1" applyAlignment="1"/>
    <xf numFmtId="176" fontId="14" fillId="6" borderId="0" xfId="2" applyNumberFormat="1" applyFont="1" applyFill="1" applyAlignment="1">
      <alignment horizontal="center"/>
    </xf>
    <xf numFmtId="176" fontId="14" fillId="6" borderId="8" xfId="2" applyNumberFormat="1" applyFont="1" applyFill="1" applyBorder="1" applyAlignment="1">
      <alignment horizontal="center"/>
    </xf>
    <xf numFmtId="176" fontId="14" fillId="6" borderId="11" xfId="2" applyNumberFormat="1" applyFont="1" applyFill="1" applyBorder="1" applyAlignment="1">
      <alignment horizontal="center"/>
    </xf>
    <xf numFmtId="169" fontId="14" fillId="6" borderId="10" xfId="2" applyNumberFormat="1" applyFont="1" applyFill="1" applyBorder="1" applyAlignment="1">
      <alignment horizontal="center"/>
    </xf>
    <xf numFmtId="169" fontId="14" fillId="6" borderId="0" xfId="2" applyNumberFormat="1" applyFont="1" applyFill="1" applyAlignment="1">
      <alignment horizontal="center"/>
    </xf>
    <xf numFmtId="175" fontId="0" fillId="0" borderId="0" xfId="1" applyNumberFormat="1" applyFont="1" applyAlignment="1"/>
    <xf numFmtId="9" fontId="11" fillId="0" borderId="0" xfId="4" applyFont="1" applyAlignment="1">
      <alignment horizontal="left"/>
    </xf>
    <xf numFmtId="175" fontId="0" fillId="0" borderId="0" xfId="1" applyNumberFormat="1" applyFont="1" applyBorder="1" applyAlignment="1"/>
    <xf numFmtId="176" fontId="5" fillId="6" borderId="0" xfId="2" applyNumberFormat="1" applyFont="1" applyFill="1" applyAlignment="1">
      <alignment horizontal="center"/>
    </xf>
    <xf numFmtId="176" fontId="5" fillId="6" borderId="8" xfId="2" applyNumberFormat="1" applyFont="1" applyFill="1" applyBorder="1" applyAlignment="1">
      <alignment horizontal="center"/>
    </xf>
    <xf numFmtId="176" fontId="5" fillId="6" borderId="11" xfId="2" applyNumberFormat="1" applyFont="1" applyFill="1" applyBorder="1" applyAlignment="1">
      <alignment horizontal="center"/>
    </xf>
    <xf numFmtId="169" fontId="5" fillId="6" borderId="10" xfId="2" applyNumberFormat="1" applyFont="1" applyFill="1" applyBorder="1" applyAlignment="1">
      <alignment horizontal="center"/>
    </xf>
    <xf numFmtId="169" fontId="5" fillId="6" borderId="0" xfId="2" applyNumberFormat="1" applyFont="1" applyFill="1" applyAlignment="1">
      <alignment horizontal="center"/>
    </xf>
    <xf numFmtId="176" fontId="6" fillId="6" borderId="0" xfId="2" applyNumberFormat="1" applyFont="1" applyFill="1" applyAlignment="1">
      <alignment horizontal="center"/>
    </xf>
    <xf numFmtId="176" fontId="6" fillId="6" borderId="8" xfId="2" applyNumberFormat="1" applyFont="1" applyFill="1" applyBorder="1" applyAlignment="1">
      <alignment horizontal="center"/>
    </xf>
    <xf numFmtId="176" fontId="6" fillId="6" borderId="11" xfId="2" applyNumberFormat="1" applyFont="1" applyFill="1" applyBorder="1" applyAlignment="1">
      <alignment horizontal="center"/>
    </xf>
    <xf numFmtId="169" fontId="6" fillId="6" borderId="10" xfId="2" applyNumberFormat="1" applyFont="1" applyFill="1" applyBorder="1" applyAlignment="1">
      <alignment horizontal="center"/>
    </xf>
    <xf numFmtId="169" fontId="6" fillId="6" borderId="0" xfId="2" applyNumberFormat="1" applyFont="1" applyFill="1" applyAlignment="1">
      <alignment horizontal="center"/>
    </xf>
    <xf numFmtId="9" fontId="14" fillId="6" borderId="0" xfId="4" applyFont="1" applyFill="1" applyAlignment="1">
      <alignment horizontal="center"/>
    </xf>
    <xf numFmtId="9" fontId="5" fillId="6" borderId="0" xfId="4" applyFont="1" applyFill="1" applyAlignment="1">
      <alignment horizontal="center"/>
    </xf>
    <xf numFmtId="9" fontId="6" fillId="6" borderId="0" xfId="4" applyFont="1" applyFill="1" applyAlignment="1">
      <alignment horizontal="center"/>
    </xf>
    <xf numFmtId="1" fontId="0" fillId="0" borderId="0" xfId="3" applyNumberFormat="1" applyFont="1" applyAlignment="1">
      <alignment horizontal="center"/>
    </xf>
    <xf numFmtId="1" fontId="29" fillId="0" borderId="0" xfId="3" applyNumberFormat="1" applyFont="1" applyAlignment="1">
      <alignment horizontal="center"/>
    </xf>
    <xf numFmtId="165" fontId="7" fillId="2" borderId="0" xfId="4" applyNumberFormat="1" applyFont="1" applyFill="1" applyAlignment="1" applyProtection="1">
      <protection locked="0"/>
    </xf>
    <xf numFmtId="165" fontId="7" fillId="0" borderId="0" xfId="4" applyNumberFormat="1" applyFont="1" applyBorder="1" applyAlignment="1" applyProtection="1">
      <protection locked="0"/>
    </xf>
    <xf numFmtId="165" fontId="7" fillId="7" borderId="0" xfId="0" applyNumberFormat="1" applyFont="1" applyFill="1" applyProtection="1">
      <protection locked="0"/>
    </xf>
    <xf numFmtId="166" fontId="7" fillId="7" borderId="0" xfId="0" applyNumberFormat="1" applyFont="1" applyFill="1" applyProtection="1">
      <protection locked="0"/>
    </xf>
    <xf numFmtId="0" fontId="0" fillId="0" borderId="0" xfId="0" applyProtection="1"/>
    <xf numFmtId="0" fontId="8" fillId="0" borderId="0" xfId="0" applyFont="1" applyProtection="1"/>
    <xf numFmtId="0" fontId="7" fillId="0" borderId="12" xfId="0" applyFont="1" applyBorder="1" applyProtection="1"/>
    <xf numFmtId="0" fontId="7" fillId="0" borderId="13" xfId="0" applyFont="1" applyBorder="1" applyProtection="1"/>
    <xf numFmtId="165" fontId="9" fillId="0" borderId="0" xfId="4" applyNumberFormat="1" applyFont="1" applyAlignment="1" applyProtection="1"/>
    <xf numFmtId="0" fontId="7" fillId="0" borderId="14" xfId="0" applyFont="1" applyBorder="1" applyProtection="1"/>
    <xf numFmtId="0" fontId="7" fillId="0" borderId="15" xfId="0" applyFont="1" applyBorder="1" applyProtection="1"/>
    <xf numFmtId="0" fontId="10" fillId="0" borderId="14" xfId="0" applyFont="1" applyBorder="1" applyProtection="1"/>
    <xf numFmtId="9" fontId="7" fillId="0" borderId="0" xfId="0" applyNumberFormat="1" applyFont="1" applyProtection="1"/>
    <xf numFmtId="165" fontId="7" fillId="0" borderId="0" xfId="4" applyNumberFormat="1" applyFont="1" applyBorder="1" applyAlignment="1" applyProtection="1"/>
    <xf numFmtId="0" fontId="33" fillId="0" borderId="13" xfId="0" applyFont="1" applyBorder="1" applyProtection="1"/>
    <xf numFmtId="0" fontId="33" fillId="0" borderId="15" xfId="0" applyFont="1" applyBorder="1" applyProtection="1"/>
    <xf numFmtId="0" fontId="7" fillId="0" borderId="0" xfId="0" applyFont="1" applyProtection="1"/>
    <xf numFmtId="167" fontId="7" fillId="0" borderId="0" xfId="0" applyNumberFormat="1" applyFont="1" applyProtection="1"/>
    <xf numFmtId="167" fontId="10" fillId="0" borderId="0" xfId="0" applyNumberFormat="1" applyFont="1" applyProtection="1"/>
    <xf numFmtId="167" fontId="13" fillId="0" borderId="0" xfId="0" applyNumberFormat="1" applyFont="1" applyProtection="1"/>
    <xf numFmtId="43" fontId="12" fillId="0" borderId="0" xfId="0" applyNumberFormat="1" applyFont="1" applyAlignment="1" applyProtection="1">
      <alignment horizontal="center" vertical="top"/>
    </xf>
    <xf numFmtId="43" fontId="12" fillId="0" borderId="16" xfId="0" applyNumberFormat="1" applyFont="1" applyBorder="1" applyAlignment="1" applyProtection="1">
      <alignment horizontal="center" vertical="top"/>
    </xf>
    <xf numFmtId="0" fontId="0" fillId="0" borderId="17" xfId="0" applyBorder="1" applyProtection="1"/>
    <xf numFmtId="0" fontId="0" fillId="0" borderId="16" xfId="0" applyBorder="1" applyProtection="1"/>
    <xf numFmtId="0" fontId="15" fillId="0" borderId="0" xfId="0" applyFont="1" applyProtection="1"/>
    <xf numFmtId="165" fontId="7" fillId="0" borderId="17" xfId="4" applyNumberFormat="1" applyFont="1" applyBorder="1" applyAlignment="1" applyProtection="1"/>
    <xf numFmtId="165" fontId="9" fillId="0" borderId="16" xfId="4" applyNumberFormat="1" applyFont="1" applyBorder="1" applyAlignment="1" applyProtection="1"/>
    <xf numFmtId="165" fontId="7" fillId="0" borderId="0" xfId="4" applyNumberFormat="1" applyFont="1" applyAlignment="1" applyProtection="1"/>
    <xf numFmtId="165" fontId="7" fillId="0" borderId="18" xfId="4" applyNumberFormat="1" applyFont="1" applyBorder="1" applyAlignment="1" applyProtection="1"/>
    <xf numFmtId="165" fontId="9" fillId="0" borderId="19" xfId="4" applyNumberFormat="1" applyFont="1" applyBorder="1" applyAlignment="1" applyProtection="1"/>
    <xf numFmtId="165" fontId="9" fillId="0" borderId="20" xfId="4" applyNumberFormat="1" applyFont="1" applyBorder="1" applyAlignment="1" applyProtection="1"/>
    <xf numFmtId="165" fontId="7" fillId="0" borderId="19" xfId="4" applyNumberFormat="1" applyFont="1" applyBorder="1" applyAlignment="1" applyProtection="1"/>
    <xf numFmtId="165" fontId="7" fillId="0" borderId="21" xfId="4" applyNumberFormat="1" applyFont="1" applyBorder="1" applyAlignment="1" applyProtection="1"/>
    <xf numFmtId="165" fontId="9" fillId="0" borderId="22" xfId="4" applyNumberFormat="1" applyFont="1" applyBorder="1" applyAlignment="1" applyProtection="1"/>
    <xf numFmtId="165" fontId="9" fillId="0" borderId="23" xfId="4" applyNumberFormat="1" applyFont="1" applyBorder="1" applyAlignment="1" applyProtection="1"/>
    <xf numFmtId="165" fontId="7" fillId="0" borderId="22" xfId="4" applyNumberFormat="1" applyFont="1" applyBorder="1" applyAlignment="1" applyProtection="1"/>
    <xf numFmtId="167" fontId="7" fillId="0" borderId="17" xfId="0" applyNumberFormat="1" applyFont="1" applyBorder="1" applyProtection="1"/>
    <xf numFmtId="167" fontId="10" fillId="0" borderId="16" xfId="0" applyNumberFormat="1" applyFont="1" applyBorder="1" applyProtection="1"/>
    <xf numFmtId="0" fontId="15" fillId="0" borderId="0" xfId="0" quotePrefix="1" applyFont="1" applyAlignment="1" applyProtection="1">
      <alignment horizontal="left"/>
    </xf>
    <xf numFmtId="0" fontId="16" fillId="0" borderId="0" xfId="0" applyFont="1" applyProtection="1"/>
    <xf numFmtId="0" fontId="17" fillId="0" borderId="0" xfId="0" applyFont="1" applyProtection="1"/>
    <xf numFmtId="0" fontId="18" fillId="0" borderId="0" xfId="0" applyFont="1" applyProtection="1"/>
    <xf numFmtId="165" fontId="7" fillId="0" borderId="24" xfId="4" applyNumberFormat="1" applyFont="1" applyBorder="1" applyAlignment="1" applyProtection="1"/>
    <xf numFmtId="165" fontId="9" fillId="0" borderId="25" xfId="4" applyNumberFormat="1" applyFont="1" applyBorder="1" applyAlignment="1" applyProtection="1"/>
    <xf numFmtId="165" fontId="9" fillId="0" borderId="26" xfId="4" applyNumberFormat="1" applyFont="1" applyBorder="1" applyAlignment="1" applyProtection="1"/>
    <xf numFmtId="165" fontId="7" fillId="0" borderId="25" xfId="4" applyNumberFormat="1" applyFont="1" applyBorder="1" applyAlignment="1" applyProtection="1"/>
    <xf numFmtId="0" fontId="15" fillId="0" borderId="0" xfId="0" applyFont="1" applyAlignment="1" applyProtection="1">
      <alignment horizontal="left"/>
    </xf>
    <xf numFmtId="0" fontId="7" fillId="0" borderId="0" xfId="0" applyFont="1" applyAlignment="1" applyProtection="1">
      <alignment wrapText="1"/>
    </xf>
    <xf numFmtId="0" fontId="7" fillId="0" borderId="27" xfId="0" applyFont="1" applyBorder="1" applyProtection="1"/>
    <xf numFmtId="177" fontId="7" fillId="7" borderId="0" xfId="0" applyNumberFormat="1" applyFont="1" applyFill="1" applyProtection="1">
      <protection locked="0"/>
    </xf>
    <xf numFmtId="0" fontId="7" fillId="0" borderId="0" xfId="0" applyNumberFormat="1" applyFont="1" applyProtection="1"/>
    <xf numFmtId="0" fontId="0" fillId="0" borderId="0" xfId="0" applyNumberFormat="1" applyProtection="1"/>
    <xf numFmtId="10" fontId="7" fillId="0" borderId="0" xfId="0" applyNumberFormat="1" applyFont="1" applyProtection="1"/>
    <xf numFmtId="10" fontId="0" fillId="0" borderId="0" xfId="0" applyNumberFormat="1" applyProtection="1"/>
    <xf numFmtId="0" fontId="7" fillId="7" borderId="0" xfId="0" applyNumberFormat="1" applyFont="1" applyFill="1" applyProtection="1">
      <protection locked="0"/>
    </xf>
    <xf numFmtId="178" fontId="7" fillId="7" borderId="0" xfId="0" applyNumberFormat="1" applyFont="1" applyFill="1" applyProtection="1">
      <protection locked="0"/>
    </xf>
    <xf numFmtId="178" fontId="9" fillId="0" borderId="0" xfId="0" applyNumberFormat="1" applyFont="1" applyProtection="1"/>
    <xf numFmtId="178" fontId="7" fillId="0" borderId="0" xfId="0" applyNumberFormat="1" applyFont="1" applyProtection="1"/>
    <xf numFmtId="178" fontId="7" fillId="7" borderId="19" xfId="0" applyNumberFormat="1" applyFont="1" applyFill="1" applyBorder="1" applyProtection="1">
      <protection locked="0"/>
    </xf>
    <xf numFmtId="178" fontId="9" fillId="0" borderId="19" xfId="0" applyNumberFormat="1" applyFont="1" applyBorder="1" applyProtection="1"/>
    <xf numFmtId="178" fontId="7" fillId="0" borderId="19" xfId="0" applyNumberFormat="1" applyFont="1" applyBorder="1" applyProtection="1"/>
    <xf numFmtId="178" fontId="7" fillId="0" borderId="22" xfId="0" applyNumberFormat="1" applyFont="1" applyBorder="1" applyProtection="1"/>
    <xf numFmtId="178" fontId="9" fillId="0" borderId="22" xfId="0" applyNumberFormat="1" applyFont="1" applyBorder="1" applyProtection="1"/>
    <xf numFmtId="178" fontId="7" fillId="0" borderId="25" xfId="0" applyNumberFormat="1" applyFont="1" applyBorder="1" applyProtection="1"/>
    <xf numFmtId="178" fontId="9" fillId="0" borderId="25" xfId="0" applyNumberFormat="1" applyFont="1" applyBorder="1" applyProtection="1"/>
    <xf numFmtId="178" fontId="20" fillId="0" borderId="0" xfId="0" applyNumberFormat="1" applyFont="1" applyProtection="1"/>
    <xf numFmtId="178" fontId="9" fillId="0" borderId="27" xfId="0" applyNumberFormat="1" applyFont="1" applyBorder="1" applyProtection="1">
      <protection locked="0"/>
    </xf>
    <xf numFmtId="178" fontId="9" fillId="0" borderId="28" xfId="0" applyNumberFormat="1" applyFont="1" applyBorder="1" applyProtection="1">
      <protection locked="0"/>
    </xf>
    <xf numFmtId="178" fontId="9" fillId="0" borderId="0" xfId="1" applyNumberFormat="1" applyFont="1" applyAlignment="1" applyProtection="1"/>
    <xf numFmtId="178" fontId="0" fillId="0" borderId="0" xfId="0" applyNumberFormat="1" applyProtection="1"/>
    <xf numFmtId="178" fontId="9" fillId="0" borderId="28" xfId="0" applyNumberFormat="1" applyFont="1" applyBorder="1" applyProtection="1"/>
    <xf numFmtId="167" fontId="0" fillId="0" borderId="0" xfId="0" applyNumberFormat="1" applyProtection="1"/>
    <xf numFmtId="43" fontId="12" fillId="0" borderId="30" xfId="0" applyNumberFormat="1" applyFont="1" applyBorder="1" applyAlignment="1" applyProtection="1">
      <alignment horizontal="center" vertical="top"/>
    </xf>
    <xf numFmtId="43" fontId="12" fillId="0" borderId="31" xfId="0" applyNumberFormat="1" applyFont="1" applyBorder="1" applyAlignment="1" applyProtection="1">
      <alignment horizontal="center" vertical="top"/>
    </xf>
    <xf numFmtId="43" fontId="12" fillId="0" borderId="32" xfId="0" applyNumberFormat="1" applyFont="1" applyBorder="1" applyAlignment="1" applyProtection="1">
      <alignment horizontal="center" vertical="top"/>
    </xf>
    <xf numFmtId="165" fontId="7" fillId="2" borderId="0" xfId="4" applyNumberFormat="1" applyFont="1" applyFill="1" applyBorder="1" applyAlignment="1" applyProtection="1">
      <protection locked="0"/>
    </xf>
    <xf numFmtId="165" fontId="7" fillId="2" borderId="16" xfId="4" applyNumberFormat="1" applyFont="1" applyFill="1" applyBorder="1" applyAlignment="1" applyProtection="1">
      <protection locked="0"/>
    </xf>
    <xf numFmtId="165" fontId="7" fillId="2" borderId="17" xfId="4" applyNumberFormat="1" applyFont="1" applyFill="1" applyBorder="1" applyAlignment="1" applyProtection="1">
      <protection locked="0"/>
    </xf>
    <xf numFmtId="9" fontId="7" fillId="0" borderId="0" xfId="0" applyNumberFormat="1" applyFont="1" applyBorder="1" applyProtection="1"/>
    <xf numFmtId="9" fontId="7" fillId="0" borderId="16" xfId="0" applyNumberFormat="1" applyFont="1" applyBorder="1" applyProtection="1"/>
    <xf numFmtId="0" fontId="7" fillId="0" borderId="17" xfId="0" applyNumberFormat="1" applyFont="1" applyBorder="1" applyProtection="1"/>
    <xf numFmtId="0" fontId="7" fillId="0" borderId="0" xfId="0" applyNumberFormat="1" applyFont="1" applyBorder="1" applyProtection="1"/>
    <xf numFmtId="0" fontId="0" fillId="0" borderId="0" xfId="0" applyNumberFormat="1" applyBorder="1" applyProtection="1"/>
    <xf numFmtId="165" fontId="11" fillId="2" borderId="16" xfId="0" applyNumberFormat="1" applyFont="1" applyFill="1" applyBorder="1" applyProtection="1">
      <protection locked="0"/>
    </xf>
    <xf numFmtId="10" fontId="9" fillId="2" borderId="17" xfId="4" applyNumberFormat="1" applyFont="1" applyFill="1" applyBorder="1" applyAlignment="1" applyProtection="1">
      <protection locked="0"/>
    </xf>
    <xf numFmtId="10" fontId="7" fillId="0" borderId="0" xfId="0" applyNumberFormat="1" applyFont="1" applyBorder="1" applyProtection="1"/>
    <xf numFmtId="10" fontId="0" fillId="0" borderId="0" xfId="0" applyNumberFormat="1" applyBorder="1" applyProtection="1"/>
    <xf numFmtId="10" fontId="0" fillId="0" borderId="16" xfId="0" applyNumberFormat="1" applyBorder="1" applyProtection="1"/>
    <xf numFmtId="167" fontId="7" fillId="0" borderId="0" xfId="0" applyNumberFormat="1" applyFont="1" applyBorder="1" applyProtection="1"/>
    <xf numFmtId="167" fontId="13" fillId="0" borderId="0" xfId="0" applyNumberFormat="1" applyFont="1" applyBorder="1" applyProtection="1"/>
    <xf numFmtId="167" fontId="13" fillId="0" borderId="16" xfId="0" applyNumberFormat="1" applyFont="1" applyBorder="1" applyProtection="1"/>
    <xf numFmtId="0" fontId="0" fillId="0" borderId="0" xfId="0" applyBorder="1" applyProtection="1"/>
    <xf numFmtId="178" fontId="7" fillId="0" borderId="17" xfId="0" applyNumberFormat="1" applyFont="1" applyBorder="1" applyProtection="1"/>
    <xf numFmtId="178" fontId="9" fillId="0" borderId="0" xfId="0" applyNumberFormat="1" applyFont="1" applyBorder="1" applyProtection="1"/>
    <xf numFmtId="178" fontId="9" fillId="0" borderId="16" xfId="0" applyNumberFormat="1" applyFont="1" applyBorder="1" applyProtection="1"/>
    <xf numFmtId="178" fontId="7" fillId="0" borderId="18" xfId="0" applyNumberFormat="1" applyFont="1" applyBorder="1" applyProtection="1"/>
    <xf numFmtId="178" fontId="9" fillId="0" borderId="20" xfId="0" applyNumberFormat="1" applyFont="1" applyBorder="1" applyProtection="1"/>
    <xf numFmtId="178" fontId="7" fillId="0" borderId="21" xfId="0" applyNumberFormat="1" applyFont="1" applyBorder="1" applyProtection="1"/>
    <xf numFmtId="178" fontId="9" fillId="0" borderId="23" xfId="0" applyNumberFormat="1" applyFont="1" applyBorder="1" applyProtection="1"/>
    <xf numFmtId="178" fontId="7" fillId="0" borderId="24" xfId="0" applyNumberFormat="1" applyFont="1" applyBorder="1" applyProtection="1"/>
    <xf numFmtId="178" fontId="9" fillId="0" borderId="26" xfId="0" applyNumberFormat="1" applyFont="1" applyBorder="1" applyProtection="1"/>
    <xf numFmtId="178" fontId="20" fillId="0" borderId="17" xfId="0" applyNumberFormat="1" applyFont="1" applyBorder="1" applyProtection="1"/>
    <xf numFmtId="178" fontId="9" fillId="0" borderId="33" xfId="0" applyNumberFormat="1" applyFont="1" applyBorder="1" applyProtection="1">
      <protection locked="0"/>
    </xf>
    <xf numFmtId="178" fontId="9" fillId="0" borderId="0" xfId="1" applyNumberFormat="1" applyFont="1" applyBorder="1" applyAlignment="1" applyProtection="1"/>
    <xf numFmtId="178" fontId="9" fillId="0" borderId="16" xfId="1" applyNumberFormat="1" applyFont="1" applyBorder="1" applyAlignment="1" applyProtection="1"/>
    <xf numFmtId="178" fontId="0" fillId="0" borderId="17" xfId="0" applyNumberFormat="1" applyBorder="1" applyProtection="1"/>
    <xf numFmtId="178" fontId="0" fillId="0" borderId="0" xfId="0" applyNumberFormat="1" applyBorder="1" applyProtection="1"/>
    <xf numFmtId="178" fontId="0" fillId="0" borderId="16" xfId="0" applyNumberFormat="1" applyBorder="1" applyProtection="1"/>
    <xf numFmtId="178" fontId="9" fillId="0" borderId="17" xfId="0" applyNumberFormat="1" applyFont="1" applyBorder="1" applyProtection="1"/>
    <xf numFmtId="178" fontId="20" fillId="0" borderId="17" xfId="0" applyNumberFormat="1" applyFont="1" applyBorder="1" applyAlignment="1" applyProtection="1">
      <alignment horizontal="left" wrapText="1"/>
    </xf>
    <xf numFmtId="178" fontId="20" fillId="0" borderId="34" xfId="0" applyNumberFormat="1" applyFont="1" applyBorder="1" applyAlignment="1" applyProtection="1">
      <alignment horizontal="left" wrapText="1"/>
    </xf>
    <xf numFmtId="178" fontId="9" fillId="0" borderId="33" xfId="0" applyNumberFormat="1" applyFont="1" applyBorder="1" applyProtection="1"/>
    <xf numFmtId="167" fontId="0" fillId="0" borderId="17" xfId="0" applyNumberFormat="1" applyBorder="1" applyProtection="1"/>
    <xf numFmtId="43" fontId="12" fillId="0" borderId="0" xfId="0" applyNumberFormat="1" applyFont="1" applyBorder="1" applyAlignment="1" applyProtection="1">
      <alignment horizontal="center" vertical="top"/>
    </xf>
    <xf numFmtId="165" fontId="7" fillId="2" borderId="0" xfId="0" applyNumberFormat="1" applyFont="1" applyFill="1" applyBorder="1" applyProtection="1">
      <protection locked="0"/>
    </xf>
    <xf numFmtId="165" fontId="7" fillId="2" borderId="16" xfId="0" applyNumberFormat="1" applyFont="1" applyFill="1" applyBorder="1" applyProtection="1">
      <protection locked="0"/>
    </xf>
    <xf numFmtId="165" fontId="7" fillId="2" borderId="17" xfId="0" applyNumberFormat="1" applyFont="1" applyFill="1" applyBorder="1" applyProtection="1">
      <protection locked="0"/>
    </xf>
    <xf numFmtId="165" fontId="9" fillId="2" borderId="0" xfId="4" applyNumberFormat="1" applyFont="1" applyFill="1" applyAlignment="1" applyProtection="1">
      <protection locked="0"/>
    </xf>
    <xf numFmtId="165" fontId="25" fillId="2" borderId="0" xfId="0" applyNumberFormat="1" applyFont="1" applyFill="1" applyProtection="1">
      <protection locked="0"/>
    </xf>
    <xf numFmtId="0" fontId="42" fillId="0" borderId="36" xfId="0" applyFont="1" applyBorder="1" applyAlignment="1" applyProtection="1">
      <alignment horizontal="center"/>
    </xf>
    <xf numFmtId="0" fontId="42" fillId="0" borderId="17" xfId="0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</xf>
    <xf numFmtId="0" fontId="42" fillId="0" borderId="16" xfId="0" applyFont="1" applyBorder="1" applyAlignment="1" applyProtection="1">
      <alignment horizontal="center"/>
    </xf>
    <xf numFmtId="0" fontId="42" fillId="0" borderId="37" xfId="0" applyFont="1" applyBorder="1" applyAlignment="1" applyProtection="1">
      <alignment horizontal="center"/>
    </xf>
    <xf numFmtId="0" fontId="42" fillId="0" borderId="38" xfId="0" applyFont="1" applyBorder="1" applyAlignment="1" applyProtection="1">
      <alignment horizontal="center"/>
    </xf>
    <xf numFmtId="0" fontId="42" fillId="0" borderId="39" xfId="0" applyFont="1" applyBorder="1" applyAlignment="1" applyProtection="1">
      <alignment horizontal="center"/>
    </xf>
    <xf numFmtId="1" fontId="42" fillId="0" borderId="40" xfId="0" applyNumberFormat="1" applyFont="1" applyBorder="1" applyAlignment="1" applyProtection="1">
      <alignment horizontal="center"/>
    </xf>
    <xf numFmtId="1" fontId="42" fillId="0" borderId="41" xfId="0" applyNumberFormat="1" applyFont="1" applyBorder="1" applyAlignment="1" applyProtection="1">
      <alignment horizontal="center"/>
    </xf>
    <xf numFmtId="1" fontId="42" fillId="0" borderId="42" xfId="0" applyNumberFormat="1" applyFont="1" applyBorder="1" applyAlignment="1" applyProtection="1">
      <alignment horizontal="center"/>
    </xf>
    <xf numFmtId="1" fontId="42" fillId="0" borderId="43" xfId="0" applyNumberFormat="1" applyFont="1" applyBorder="1" applyAlignment="1" applyProtection="1">
      <alignment horizontal="center"/>
    </xf>
    <xf numFmtId="1" fontId="42" fillId="0" borderId="44" xfId="0" applyNumberFormat="1" applyFont="1" applyBorder="1" applyAlignment="1" applyProtection="1">
      <alignment horizontal="center"/>
    </xf>
    <xf numFmtId="1" fontId="42" fillId="0" borderId="45" xfId="0" applyNumberFormat="1" applyFont="1" applyBorder="1" applyAlignment="1" applyProtection="1">
      <alignment horizontal="center"/>
    </xf>
    <xf numFmtId="1" fontId="42" fillId="0" borderId="46" xfId="0" applyNumberFormat="1" applyFont="1" applyBorder="1" applyAlignment="1" applyProtection="1">
      <alignment horizontal="center"/>
    </xf>
    <xf numFmtId="1" fontId="42" fillId="0" borderId="47" xfId="0" applyNumberFormat="1" applyFont="1" applyBorder="1" applyAlignment="1" applyProtection="1">
      <alignment horizontal="center"/>
    </xf>
    <xf numFmtId="180" fontId="34" fillId="7" borderId="0" xfId="0" applyNumberFormat="1" applyFont="1" applyFill="1" applyAlignment="1" applyProtection="1">
      <alignment horizontal="center"/>
      <protection locked="0"/>
    </xf>
    <xf numFmtId="178" fontId="9" fillId="0" borderId="0" xfId="0" applyNumberFormat="1" applyFont="1" applyAlignment="1" applyProtection="1"/>
    <xf numFmtId="178" fontId="7" fillId="0" borderId="17" xfId="0" applyNumberFormat="1" applyFont="1" applyBorder="1" applyAlignment="1" applyProtection="1"/>
    <xf numFmtId="178" fontId="9" fillId="0" borderId="0" xfId="0" applyNumberFormat="1" applyFont="1" applyBorder="1" applyAlignment="1" applyProtection="1"/>
    <xf numFmtId="178" fontId="9" fillId="0" borderId="16" xfId="0" applyNumberFormat="1" applyFont="1" applyBorder="1" applyAlignment="1" applyProtection="1"/>
    <xf numFmtId="0" fontId="0" fillId="0" borderId="0" xfId="0" applyAlignment="1" applyProtection="1"/>
    <xf numFmtId="178" fontId="43" fillId="0" borderId="0" xfId="0" applyNumberFormat="1" applyFont="1" applyAlignment="1" applyProtection="1"/>
    <xf numFmtId="178" fontId="44" fillId="0" borderId="0" xfId="0" applyNumberFormat="1" applyFont="1" applyAlignment="1" applyProtection="1"/>
    <xf numFmtId="178" fontId="45" fillId="0" borderId="0" xfId="0" applyNumberFormat="1" applyFont="1" applyAlignment="1" applyProtection="1"/>
    <xf numFmtId="178" fontId="44" fillId="0" borderId="17" xfId="0" applyNumberFormat="1" applyFont="1" applyBorder="1" applyAlignment="1" applyProtection="1"/>
    <xf numFmtId="178" fontId="44" fillId="0" borderId="0" xfId="0" applyNumberFormat="1" applyFont="1" applyBorder="1" applyAlignment="1" applyProtection="1"/>
    <xf numFmtId="178" fontId="45" fillId="0" borderId="16" xfId="0" applyNumberFormat="1" applyFont="1" applyBorder="1" applyAlignment="1" applyProtection="1"/>
    <xf numFmtId="0" fontId="45" fillId="0" borderId="0" xfId="0" applyFont="1" applyAlignment="1" applyProtection="1"/>
    <xf numFmtId="178" fontId="20" fillId="0" borderId="0" xfId="0" applyNumberFormat="1" applyFont="1" applyAlignment="1" applyProtection="1">
      <alignment wrapText="1"/>
    </xf>
    <xf numFmtId="178" fontId="20" fillId="0" borderId="28" xfId="0" applyNumberFormat="1" applyFont="1" applyBorder="1" applyAlignment="1" applyProtection="1">
      <alignment wrapText="1"/>
    </xf>
    <xf numFmtId="0" fontId="47" fillId="0" borderId="0" xfId="0" applyFont="1" applyAlignment="1" applyProtection="1"/>
    <xf numFmtId="166" fontId="9" fillId="0" borderId="0" xfId="0" applyNumberFormat="1" applyFont="1" applyFill="1" applyProtection="1">
      <protection locked="0"/>
    </xf>
    <xf numFmtId="10" fontId="9" fillId="2" borderId="0" xfId="4" applyNumberFormat="1" applyFont="1" applyFill="1" applyAlignment="1" applyProtection="1">
      <protection locked="0"/>
    </xf>
    <xf numFmtId="9" fontId="7" fillId="0" borderId="0" xfId="0" applyNumberFormat="1" applyFont="1" applyProtection="1">
      <protection locked="0"/>
    </xf>
    <xf numFmtId="9" fontId="7" fillId="0" borderId="17" xfId="0" applyNumberFormat="1" applyFont="1" applyBorder="1" applyProtection="1">
      <protection locked="0"/>
    </xf>
    <xf numFmtId="165" fontId="7" fillId="0" borderId="16" xfId="4" applyNumberFormat="1" applyFont="1" applyBorder="1" applyAlignment="1" applyProtection="1">
      <protection locked="0"/>
    </xf>
    <xf numFmtId="9" fontId="10" fillId="0" borderId="0" xfId="0" applyNumberFormat="1" applyFont="1" applyProtection="1">
      <protection locked="0"/>
    </xf>
    <xf numFmtId="9" fontId="10" fillId="0" borderId="17" xfId="0" applyNumberFormat="1" applyFont="1" applyBorder="1" applyProtection="1">
      <protection locked="0"/>
    </xf>
    <xf numFmtId="9" fontId="10" fillId="0" borderId="0" xfId="0" applyNumberFormat="1" applyFont="1" applyBorder="1" applyProtection="1">
      <protection locked="0"/>
    </xf>
    <xf numFmtId="9" fontId="10" fillId="0" borderId="16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Border="1" applyProtection="1">
      <protection locked="0"/>
    </xf>
    <xf numFmtId="9" fontId="7" fillId="0" borderId="16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7" fillId="0" borderId="17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165" fontId="7" fillId="0" borderId="0" xfId="4" applyNumberFormat="1" applyFont="1" applyAlignment="1" applyProtection="1">
      <protection locked="0"/>
    </xf>
    <xf numFmtId="178" fontId="7" fillId="0" borderId="17" xfId="0" applyNumberFormat="1" applyFont="1" applyBorder="1" applyProtection="1">
      <protection locked="0"/>
    </xf>
    <xf numFmtId="178" fontId="0" fillId="0" borderId="0" xfId="0" applyNumberFormat="1" applyProtection="1">
      <protection locked="0"/>
    </xf>
    <xf numFmtId="178" fontId="0" fillId="0" borderId="17" xfId="0" applyNumberFormat="1" applyBorder="1" applyProtection="1">
      <protection locked="0"/>
    </xf>
    <xf numFmtId="178" fontId="0" fillId="0" borderId="16" xfId="0" applyNumberFormat="1" applyBorder="1" applyProtection="1">
      <protection locked="0"/>
    </xf>
    <xf numFmtId="10" fontId="0" fillId="0" borderId="0" xfId="4" applyNumberFormat="1" applyFont="1" applyAlignment="1" applyProtection="1">
      <protection locked="0"/>
    </xf>
    <xf numFmtId="178" fontId="49" fillId="0" borderId="0" xfId="0" applyNumberFormat="1" applyFont="1" applyProtection="1"/>
    <xf numFmtId="178" fontId="49" fillId="0" borderId="0" xfId="0" applyNumberFormat="1" applyFont="1" applyBorder="1" applyProtection="1"/>
    <xf numFmtId="10" fontId="50" fillId="0" borderId="0" xfId="0" applyNumberFormat="1" applyFont="1" applyProtection="1">
      <protection locked="0"/>
    </xf>
    <xf numFmtId="10" fontId="50" fillId="0" borderId="17" xfId="0" applyNumberFormat="1" applyFont="1" applyBorder="1" applyProtection="1">
      <protection locked="0"/>
    </xf>
    <xf numFmtId="10" fontId="50" fillId="0" borderId="0" xfId="0" applyNumberFormat="1" applyFont="1" applyBorder="1" applyProtection="1">
      <protection locked="0"/>
    </xf>
    <xf numFmtId="10" fontId="50" fillId="0" borderId="16" xfId="0" applyNumberFormat="1" applyFont="1" applyBorder="1" applyProtection="1">
      <protection locked="0"/>
    </xf>
    <xf numFmtId="0" fontId="51" fillId="0" borderId="0" xfId="0" applyFont="1" applyFill="1" applyBorder="1" applyAlignment="1" applyProtection="1">
      <alignment horizontal="right"/>
      <protection locked="0"/>
    </xf>
    <xf numFmtId="178" fontId="0" fillId="0" borderId="0" xfId="0" applyNumberFormat="1" applyBorder="1" applyProtection="1">
      <protection locked="0"/>
    </xf>
    <xf numFmtId="167" fontId="13" fillId="0" borderId="0" xfId="0" applyNumberFormat="1" applyFont="1" applyProtection="1">
      <protection locked="0"/>
    </xf>
    <xf numFmtId="167" fontId="0" fillId="0" borderId="17" xfId="0" applyNumberFormat="1" applyBorder="1" applyProtection="1">
      <protection locked="0"/>
    </xf>
    <xf numFmtId="167" fontId="13" fillId="0" borderId="0" xfId="0" applyNumberFormat="1" applyFont="1" applyBorder="1" applyProtection="1">
      <protection locked="0"/>
    </xf>
    <xf numFmtId="167" fontId="13" fillId="0" borderId="16" xfId="0" applyNumberFormat="1" applyFont="1" applyBorder="1" applyProtection="1">
      <protection locked="0"/>
    </xf>
    <xf numFmtId="10" fontId="3" fillId="0" borderId="0" xfId="4" applyNumberFormat="1" applyFont="1" applyAlignment="1" applyProtection="1">
      <protection locked="0"/>
    </xf>
    <xf numFmtId="165" fontId="7" fillId="9" borderId="0" xfId="4" applyNumberFormat="1" applyFont="1" applyFill="1" applyAlignment="1" applyProtection="1">
      <protection locked="0"/>
    </xf>
    <xf numFmtId="10" fontId="52" fillId="0" borderId="0" xfId="4" applyNumberFormat="1" applyFont="1" applyAlignment="1" applyProtection="1">
      <protection locked="0"/>
    </xf>
    <xf numFmtId="165" fontId="7" fillId="10" borderId="0" xfId="0" applyNumberFormat="1" applyFont="1" applyFill="1" applyProtection="1">
      <protection locked="0"/>
    </xf>
    <xf numFmtId="165" fontId="9" fillId="0" borderId="0" xfId="4" applyNumberFormat="1" applyFont="1" applyBorder="1" applyAlignment="1" applyProtection="1"/>
    <xf numFmtId="1" fontId="7" fillId="0" borderId="0" xfId="0" applyNumberFormat="1" applyFont="1" applyAlignment="1" applyProtection="1"/>
    <xf numFmtId="1" fontId="7" fillId="0" borderId="17" xfId="0" applyNumberFormat="1" applyFont="1" applyBorder="1" applyAlignment="1" applyProtection="1"/>
    <xf numFmtId="1" fontId="7" fillId="0" borderId="0" xfId="0" applyNumberFormat="1" applyFont="1" applyBorder="1" applyAlignment="1" applyProtection="1"/>
    <xf numFmtId="1" fontId="7" fillId="0" borderId="16" xfId="0" applyNumberFormat="1" applyFont="1" applyBorder="1" applyAlignment="1" applyProtection="1"/>
    <xf numFmtId="0" fontId="0" fillId="0" borderId="38" xfId="0" applyBorder="1" applyProtection="1"/>
    <xf numFmtId="0" fontId="0" fillId="0" borderId="39" xfId="0" applyBorder="1" applyProtection="1"/>
    <xf numFmtId="0" fontId="7" fillId="0" borderId="0" xfId="0" applyFont="1" applyAlignment="1" applyProtection="1"/>
    <xf numFmtId="0" fontId="7" fillId="0" borderId="17" xfId="0" applyFont="1" applyBorder="1" applyAlignment="1" applyProtection="1"/>
    <xf numFmtId="0" fontId="7" fillId="0" borderId="0" xfId="0" applyFont="1" applyBorder="1" applyAlignment="1" applyProtection="1"/>
    <xf numFmtId="0" fontId="7" fillId="0" borderId="16" xfId="0" applyFont="1" applyBorder="1" applyAlignment="1" applyProtection="1"/>
    <xf numFmtId="178" fontId="7" fillId="0" borderId="0" xfId="0" applyNumberFormat="1" applyFont="1" applyAlignment="1" applyProtection="1"/>
    <xf numFmtId="178" fontId="16" fillId="0" borderId="0" xfId="0" applyNumberFormat="1" applyFont="1" applyAlignment="1" applyProtection="1"/>
    <xf numFmtId="178" fontId="16" fillId="0" borderId="0" xfId="0" applyNumberFormat="1" applyFont="1" applyBorder="1" applyAlignment="1" applyProtection="1"/>
    <xf numFmtId="178" fontId="16" fillId="0" borderId="16" xfId="0" applyNumberFormat="1" applyFont="1" applyBorder="1" applyAlignment="1" applyProtection="1"/>
    <xf numFmtId="10" fontId="16" fillId="0" borderId="0" xfId="0" applyNumberFormat="1" applyFont="1" applyBorder="1" applyAlignment="1" applyProtection="1"/>
    <xf numFmtId="10" fontId="16" fillId="0" borderId="0" xfId="0" applyNumberFormat="1" applyFont="1" applyAlignment="1" applyProtection="1"/>
    <xf numFmtId="10" fontId="16" fillId="0" borderId="17" xfId="0" applyNumberFormat="1" applyFont="1" applyBorder="1" applyAlignment="1" applyProtection="1"/>
    <xf numFmtId="10" fontId="16" fillId="0" borderId="16" xfId="0" applyNumberFormat="1" applyFont="1" applyBorder="1" applyAlignment="1" applyProtection="1"/>
    <xf numFmtId="0" fontId="9" fillId="0" borderId="0" xfId="0" applyFont="1" applyAlignment="1" applyProtection="1"/>
    <xf numFmtId="0" fontId="9" fillId="0" borderId="16" xfId="0" applyFont="1" applyBorder="1" applyAlignment="1" applyProtection="1"/>
    <xf numFmtId="178" fontId="9" fillId="0" borderId="48" xfId="0" applyNumberFormat="1" applyFont="1" applyBorder="1" applyAlignment="1" applyProtection="1"/>
    <xf numFmtId="178" fontId="9" fillId="0" borderId="49" xfId="0" applyNumberFormat="1" applyFont="1" applyBorder="1" applyAlignment="1" applyProtection="1"/>
    <xf numFmtId="165" fontId="7" fillId="0" borderId="48" xfId="4" applyNumberFormat="1" applyFont="1" applyBorder="1" applyAlignment="1" applyProtection="1"/>
    <xf numFmtId="165" fontId="9" fillId="0" borderId="48" xfId="4" applyNumberFormat="1" applyFont="1" applyBorder="1" applyAlignment="1" applyProtection="1"/>
    <xf numFmtId="165" fontId="7" fillId="0" borderId="50" xfId="4" applyNumberFormat="1" applyFont="1" applyBorder="1" applyAlignment="1" applyProtection="1"/>
    <xf numFmtId="165" fontId="9" fillId="0" borderId="49" xfId="4" applyNumberFormat="1" applyFont="1" applyBorder="1" applyAlignment="1" applyProtection="1"/>
    <xf numFmtId="178" fontId="46" fillId="0" borderId="0" xfId="0" applyNumberFormat="1" applyFont="1" applyAlignment="1" applyProtection="1"/>
    <xf numFmtId="178" fontId="46" fillId="0" borderId="0" xfId="0" applyNumberFormat="1" applyFont="1" applyBorder="1" applyAlignment="1" applyProtection="1"/>
    <xf numFmtId="178" fontId="46" fillId="0" borderId="16" xfId="0" applyNumberFormat="1" applyFont="1" applyBorder="1" applyAlignment="1" applyProtection="1"/>
    <xf numFmtId="168" fontId="46" fillId="0" borderId="51" xfId="0" applyNumberFormat="1" applyFont="1" applyBorder="1" applyAlignment="1" applyProtection="1"/>
    <xf numFmtId="168" fontId="46" fillId="0" borderId="52" xfId="0" applyNumberFormat="1" applyFont="1" applyBorder="1" applyAlignment="1" applyProtection="1"/>
    <xf numFmtId="168" fontId="46" fillId="0" borderId="53" xfId="0" applyNumberFormat="1" applyFont="1" applyBorder="1" applyAlignment="1" applyProtection="1"/>
    <xf numFmtId="178" fontId="15" fillId="0" borderId="0" xfId="0" applyNumberFormat="1" applyFont="1" applyAlignment="1" applyProtection="1"/>
    <xf numFmtId="178" fontId="48" fillId="0" borderId="17" xfId="0" applyNumberFormat="1" applyFont="1" applyBorder="1" applyAlignment="1" applyProtection="1"/>
    <xf numFmtId="178" fontId="0" fillId="0" borderId="0" xfId="0" applyNumberFormat="1" applyAlignment="1" applyProtection="1"/>
    <xf numFmtId="178" fontId="0" fillId="0" borderId="17" xfId="0" applyNumberFormat="1" applyBorder="1" applyAlignment="1" applyProtection="1"/>
    <xf numFmtId="178" fontId="0" fillId="0" borderId="0" xfId="0" applyNumberFormat="1" applyBorder="1" applyAlignment="1" applyProtection="1"/>
    <xf numFmtId="178" fontId="0" fillId="0" borderId="16" xfId="0" applyNumberFormat="1" applyBorder="1" applyAlignment="1" applyProtection="1"/>
    <xf numFmtId="165" fontId="49" fillId="0" borderId="17" xfId="0" applyNumberFormat="1" applyFont="1" applyBorder="1" applyProtection="1">
      <protection locked="0"/>
    </xf>
    <xf numFmtId="165" fontId="7" fillId="0" borderId="17" xfId="0" applyNumberFormat="1" applyFont="1" applyBorder="1" applyProtection="1">
      <protection locked="0"/>
    </xf>
    <xf numFmtId="165" fontId="33" fillId="0" borderId="0" xfId="0" applyNumberFormat="1" applyFont="1" applyProtection="1">
      <protection locked="0"/>
    </xf>
    <xf numFmtId="165" fontId="33" fillId="0" borderId="17" xfId="0" applyNumberFormat="1" applyFont="1" applyBorder="1" applyProtection="1">
      <protection locked="0"/>
    </xf>
    <xf numFmtId="165" fontId="33" fillId="0" borderId="0" xfId="0" applyNumberFormat="1" applyFont="1" applyBorder="1" applyProtection="1">
      <protection locked="0"/>
    </xf>
    <xf numFmtId="165" fontId="33" fillId="0" borderId="16" xfId="0" applyNumberFormat="1" applyFont="1" applyBorder="1" applyProtection="1">
      <protection locked="0"/>
    </xf>
    <xf numFmtId="167" fontId="7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67" fontId="7" fillId="0" borderId="17" xfId="0" applyNumberFormat="1" applyFont="1" applyBorder="1" applyProtection="1">
      <protection locked="0"/>
    </xf>
    <xf numFmtId="167" fontId="7" fillId="0" borderId="0" xfId="0" applyNumberFormat="1" applyFont="1" applyBorder="1" applyProtection="1">
      <protection locked="0"/>
    </xf>
    <xf numFmtId="167" fontId="10" fillId="0" borderId="0" xfId="0" applyNumberFormat="1" applyFont="1" applyBorder="1" applyProtection="1">
      <protection locked="0"/>
    </xf>
    <xf numFmtId="0" fontId="9" fillId="0" borderId="0" xfId="0" applyNumberFormat="1" applyFont="1" applyProtection="1">
      <protection locked="0"/>
    </xf>
    <xf numFmtId="0" fontId="7" fillId="0" borderId="17" xfId="0" applyNumberFormat="1" applyFont="1" applyBorder="1" applyProtection="1">
      <protection locked="0"/>
    </xf>
    <xf numFmtId="0" fontId="9" fillId="0" borderId="0" xfId="0" applyNumberFormat="1" applyFont="1" applyBorder="1" applyProtection="1">
      <protection locked="0"/>
    </xf>
    <xf numFmtId="0" fontId="9" fillId="0" borderId="16" xfId="0" applyNumberFormat="1" applyFont="1" applyBorder="1" applyProtection="1">
      <protection locked="0"/>
    </xf>
    <xf numFmtId="166" fontId="9" fillId="0" borderId="0" xfId="0" applyNumberFormat="1" applyFont="1" applyProtection="1">
      <protection locked="0"/>
    </xf>
    <xf numFmtId="166" fontId="9" fillId="0" borderId="17" xfId="0" applyNumberFormat="1" applyFont="1" applyBorder="1" applyProtection="1">
      <protection locked="0"/>
    </xf>
    <xf numFmtId="166" fontId="9" fillId="0" borderId="0" xfId="0" applyNumberFormat="1" applyFont="1" applyBorder="1" applyProtection="1">
      <protection locked="0"/>
    </xf>
    <xf numFmtId="166" fontId="9" fillId="0" borderId="16" xfId="0" applyNumberFormat="1" applyFont="1" applyBorder="1" applyProtection="1">
      <protection locked="0"/>
    </xf>
    <xf numFmtId="10" fontId="50" fillId="0" borderId="0" xfId="4" applyNumberFormat="1" applyFont="1" applyAlignment="1" applyProtection="1">
      <protection locked="0"/>
    </xf>
    <xf numFmtId="181" fontId="50" fillId="0" borderId="0" xfId="1" applyNumberFormat="1" applyFont="1" applyAlignment="1" applyProtection="1">
      <protection locked="0"/>
    </xf>
    <xf numFmtId="178" fontId="50" fillId="0" borderId="0" xfId="0" applyNumberFormat="1" applyFont="1" applyProtection="1">
      <protection locked="0"/>
    </xf>
    <xf numFmtId="178" fontId="50" fillId="0" borderId="17" xfId="0" applyNumberFormat="1" applyFont="1" applyBorder="1" applyProtection="1">
      <protection locked="0"/>
    </xf>
    <xf numFmtId="178" fontId="50" fillId="0" borderId="0" xfId="0" applyNumberFormat="1" applyFont="1" applyBorder="1" applyProtection="1">
      <protection locked="0"/>
    </xf>
    <xf numFmtId="178" fontId="50" fillId="0" borderId="16" xfId="0" applyNumberFormat="1" applyFont="1" applyBorder="1" applyProtection="1">
      <protection locked="0"/>
    </xf>
    <xf numFmtId="0" fontId="15" fillId="0" borderId="54" xfId="0" applyFont="1" applyBorder="1" applyProtection="1">
      <protection locked="0"/>
    </xf>
    <xf numFmtId="0" fontId="15" fillId="0" borderId="55" xfId="0" applyFont="1" applyBorder="1" applyProtection="1">
      <protection locked="0"/>
    </xf>
    <xf numFmtId="0" fontId="7" fillId="0" borderId="55" xfId="0" applyFont="1" applyBorder="1" applyProtection="1">
      <protection locked="0"/>
    </xf>
    <xf numFmtId="0" fontId="21" fillId="0" borderId="55" xfId="0" applyFont="1" applyBorder="1" applyAlignment="1" applyProtection="1">
      <alignment horizontal="right"/>
      <protection locked="0"/>
    </xf>
    <xf numFmtId="0" fontId="7" fillId="0" borderId="54" xfId="0" applyFont="1" applyBorder="1" applyProtection="1">
      <protection locked="0"/>
    </xf>
    <xf numFmtId="0" fontId="21" fillId="0" borderId="56" xfId="0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2" fillId="0" borderId="17" xfId="0" applyFont="1" applyBorder="1" applyProtection="1">
      <protection locked="0"/>
    </xf>
    <xf numFmtId="0" fontId="23" fillId="0" borderId="40" xfId="0" applyFont="1" applyBorder="1" applyAlignment="1" applyProtection="1">
      <alignment horizontal="right"/>
      <protection locked="0"/>
    </xf>
    <xf numFmtId="0" fontId="23" fillId="0" borderId="41" xfId="0" applyFont="1" applyBorder="1" applyAlignment="1" applyProtection="1">
      <alignment horizontal="right"/>
      <protection locked="0"/>
    </xf>
    <xf numFmtId="0" fontId="23" fillId="0" borderId="42" xfId="0" applyFont="1" applyBorder="1" applyAlignment="1" applyProtection="1">
      <alignment horizontal="right"/>
      <protection locked="0"/>
    </xf>
    <xf numFmtId="0" fontId="23" fillId="0" borderId="43" xfId="0" applyFont="1" applyBorder="1" applyAlignment="1" applyProtection="1">
      <alignment horizontal="right"/>
      <protection locked="0"/>
    </xf>
    <xf numFmtId="0" fontId="23" fillId="0" borderId="44" xfId="0" applyFont="1" applyBorder="1" applyAlignment="1" applyProtection="1">
      <alignment horizontal="right"/>
      <protection locked="0"/>
    </xf>
    <xf numFmtId="0" fontId="23" fillId="0" borderId="45" xfId="0" applyFont="1" applyBorder="1" applyAlignment="1" applyProtection="1">
      <alignment horizontal="right"/>
      <protection locked="0"/>
    </xf>
    <xf numFmtId="0" fontId="23" fillId="0" borderId="46" xfId="0" applyFont="1" applyBorder="1" applyAlignment="1" applyProtection="1">
      <alignment horizontal="right"/>
      <protection locked="0"/>
    </xf>
    <xf numFmtId="0" fontId="24" fillId="0" borderId="17" xfId="0" applyFont="1" applyBorder="1" applyProtection="1">
      <protection locked="0"/>
    </xf>
    <xf numFmtId="0" fontId="2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Border="1" applyProtection="1">
      <protection locked="0"/>
    </xf>
    <xf numFmtId="0" fontId="9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169" fontId="11" fillId="0" borderId="0" xfId="0" applyNumberFormat="1" applyFont="1" applyProtection="1">
      <protection locked="0"/>
    </xf>
    <xf numFmtId="169" fontId="25" fillId="0" borderId="0" xfId="0" applyNumberFormat="1" applyFont="1" applyProtection="1">
      <protection locked="0"/>
    </xf>
    <xf numFmtId="169" fontId="11" fillId="0" borderId="17" xfId="0" applyNumberFormat="1" applyFont="1" applyBorder="1" applyProtection="1">
      <protection locked="0"/>
    </xf>
    <xf numFmtId="169" fontId="25" fillId="0" borderId="0" xfId="0" applyNumberFormat="1" applyFont="1" applyBorder="1" applyProtection="1">
      <protection locked="0"/>
    </xf>
    <xf numFmtId="169" fontId="25" fillId="0" borderId="16" xfId="0" applyNumberFormat="1" applyFont="1" applyBorder="1" applyProtection="1">
      <protection locked="0"/>
    </xf>
    <xf numFmtId="170" fontId="11" fillId="0" borderId="0" xfId="0" applyNumberFormat="1" applyFont="1" applyProtection="1">
      <protection locked="0"/>
    </xf>
    <xf numFmtId="170" fontId="25" fillId="0" borderId="0" xfId="0" applyNumberFormat="1" applyFont="1" applyProtection="1">
      <protection locked="0"/>
    </xf>
    <xf numFmtId="170" fontId="11" fillId="0" borderId="17" xfId="0" applyNumberFormat="1" applyFont="1" applyBorder="1" applyProtection="1">
      <protection locked="0"/>
    </xf>
    <xf numFmtId="170" fontId="25" fillId="0" borderId="0" xfId="0" applyNumberFormat="1" applyFont="1" applyBorder="1" applyProtection="1">
      <protection locked="0"/>
    </xf>
    <xf numFmtId="170" fontId="25" fillId="0" borderId="16" xfId="0" applyNumberFormat="1" applyFont="1" applyBorder="1" applyProtection="1">
      <protection locked="0"/>
    </xf>
    <xf numFmtId="171" fontId="11" fillId="0" borderId="0" xfId="0" applyNumberFormat="1" applyFont="1" applyProtection="1">
      <protection locked="0"/>
    </xf>
    <xf numFmtId="171" fontId="25" fillId="0" borderId="0" xfId="0" applyNumberFormat="1" applyFont="1" applyProtection="1">
      <protection locked="0"/>
    </xf>
    <xf numFmtId="171" fontId="11" fillId="0" borderId="17" xfId="0" applyNumberFormat="1" applyFont="1" applyBorder="1" applyProtection="1">
      <protection locked="0"/>
    </xf>
    <xf numFmtId="171" fontId="25" fillId="0" borderId="0" xfId="0" applyNumberFormat="1" applyFont="1" applyBorder="1" applyProtection="1">
      <protection locked="0"/>
    </xf>
    <xf numFmtId="171" fontId="25" fillId="0" borderId="16" xfId="0" applyNumberFormat="1" applyFont="1" applyBorder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10" fontId="11" fillId="0" borderId="0" xfId="4" applyNumberFormat="1" applyFont="1" applyAlignment="1" applyProtection="1">
      <protection locked="0"/>
    </xf>
    <xf numFmtId="10" fontId="25" fillId="0" borderId="0" xfId="4" applyNumberFormat="1" applyFont="1" applyAlignment="1" applyProtection="1">
      <protection locked="0"/>
    </xf>
    <xf numFmtId="10" fontId="11" fillId="0" borderId="17" xfId="4" applyNumberFormat="1" applyFont="1" applyBorder="1" applyAlignment="1" applyProtection="1">
      <protection locked="0"/>
    </xf>
    <xf numFmtId="10" fontId="25" fillId="0" borderId="0" xfId="4" applyNumberFormat="1" applyFont="1" applyBorder="1" applyAlignment="1" applyProtection="1">
      <protection locked="0"/>
    </xf>
    <xf numFmtId="10" fontId="25" fillId="0" borderId="16" xfId="4" applyNumberFormat="1" applyFont="1" applyBorder="1" applyAlignment="1" applyProtection="1">
      <protection locked="0"/>
    </xf>
    <xf numFmtId="172" fontId="11" fillId="0" borderId="0" xfId="0" applyNumberFormat="1" applyFont="1" applyProtection="1">
      <protection locked="0"/>
    </xf>
    <xf numFmtId="172" fontId="25" fillId="0" borderId="0" xfId="0" applyNumberFormat="1" applyFont="1" applyProtection="1">
      <protection locked="0"/>
    </xf>
    <xf numFmtId="172" fontId="11" fillId="0" borderId="17" xfId="0" applyNumberFormat="1" applyFont="1" applyBorder="1" applyProtection="1">
      <protection locked="0"/>
    </xf>
    <xf numFmtId="172" fontId="25" fillId="0" borderId="0" xfId="0" applyNumberFormat="1" applyFont="1" applyBorder="1" applyProtection="1">
      <protection locked="0"/>
    </xf>
    <xf numFmtId="172" fontId="25" fillId="0" borderId="16" xfId="0" applyNumberFormat="1" applyFont="1" applyBorder="1" applyProtection="1">
      <protection locked="0"/>
    </xf>
    <xf numFmtId="165" fontId="7" fillId="0" borderId="0" xfId="0" applyNumberFormat="1" applyFont="1" applyProtection="1">
      <protection locked="0"/>
    </xf>
    <xf numFmtId="165" fontId="7" fillId="0" borderId="16" xfId="0" applyNumberFormat="1" applyFont="1" applyBorder="1" applyProtection="1">
      <protection locked="0"/>
    </xf>
    <xf numFmtId="0" fontId="7" fillId="0" borderId="52" xfId="0" applyFont="1" applyBorder="1" applyAlignment="1" applyProtection="1">
      <alignment horizontal="left" indent="1"/>
      <protection locked="0"/>
    </xf>
    <xf numFmtId="167" fontId="11" fillId="0" borderId="51" xfId="0" applyNumberFormat="1" applyFont="1" applyBorder="1" applyProtection="1">
      <protection locked="0"/>
    </xf>
    <xf numFmtId="167" fontId="25" fillId="0" borderId="51" xfId="0" applyNumberFormat="1" applyFont="1" applyBorder="1" applyProtection="1">
      <protection locked="0"/>
    </xf>
    <xf numFmtId="167" fontId="11" fillId="0" borderId="52" xfId="0" applyNumberFormat="1" applyFont="1" applyBorder="1" applyProtection="1">
      <protection locked="0"/>
    </xf>
    <xf numFmtId="167" fontId="25" fillId="0" borderId="53" xfId="0" applyNumberFormat="1" applyFont="1" applyBorder="1" applyProtection="1">
      <protection locked="0"/>
    </xf>
    <xf numFmtId="0" fontId="44" fillId="0" borderId="0" xfId="0" applyFont="1" applyProtection="1">
      <protection locked="0"/>
    </xf>
    <xf numFmtId="165" fontId="9" fillId="0" borderId="17" xfId="4" applyNumberFormat="1" applyFont="1" applyBorder="1" applyAlignment="1" applyProtection="1"/>
    <xf numFmtId="166" fontId="9" fillId="0" borderId="29" xfId="0" applyNumberFormat="1" applyFont="1" applyBorder="1" applyProtection="1"/>
    <xf numFmtId="166" fontId="0" fillId="0" borderId="0" xfId="0" applyNumberFormat="1" applyProtection="1"/>
    <xf numFmtId="166" fontId="9" fillId="0" borderId="17" xfId="0" applyNumberFormat="1" applyFont="1" applyBorder="1" applyProtection="1"/>
    <xf numFmtId="166" fontId="9" fillId="0" borderId="35" xfId="0" applyNumberFormat="1" applyFont="1" applyBorder="1" applyProtection="1"/>
    <xf numFmtId="40" fontId="7" fillId="11" borderId="0" xfId="0" applyNumberFormat="1" applyFont="1" applyFill="1" applyProtection="1">
      <protection locked="0"/>
    </xf>
    <xf numFmtId="40" fontId="7" fillId="11" borderId="19" xfId="0" applyNumberFormat="1" applyFont="1" applyFill="1" applyBorder="1" applyProtection="1">
      <protection locked="0"/>
    </xf>
    <xf numFmtId="0" fontId="12" fillId="0" borderId="55" xfId="0" applyFont="1" applyBorder="1" applyAlignment="1" applyProtection="1">
      <alignment horizontal="center"/>
    </xf>
    <xf numFmtId="0" fontId="12" fillId="0" borderId="57" xfId="0" applyFont="1" applyBorder="1" applyAlignment="1" applyProtection="1">
      <alignment horizontal="center"/>
    </xf>
    <xf numFmtId="0" fontId="12" fillId="0" borderId="58" xfId="0" applyFont="1" applyBorder="1" applyAlignment="1" applyProtection="1">
      <alignment horizontal="center"/>
    </xf>
    <xf numFmtId="0" fontId="12" fillId="0" borderId="59" xfId="0" applyFont="1" applyBorder="1" applyAlignment="1" applyProtection="1">
      <alignment horizontal="center"/>
    </xf>
    <xf numFmtId="179" fontId="14" fillId="0" borderId="40" xfId="0" applyNumberFormat="1" applyFont="1" applyBorder="1" applyAlignment="1" applyProtection="1">
      <alignment horizontal="center"/>
    </xf>
    <xf numFmtId="0" fontId="5" fillId="0" borderId="60" xfId="0" applyFont="1" applyBorder="1" applyAlignment="1" applyProtection="1">
      <alignment horizontal="center"/>
    </xf>
    <xf numFmtId="0" fontId="5" fillId="0" borderId="42" xfId="0" applyFont="1" applyBorder="1" applyAlignment="1" applyProtection="1">
      <alignment horizontal="center"/>
    </xf>
    <xf numFmtId="0" fontId="5" fillId="0" borderId="61" xfId="0" applyFont="1" applyBorder="1" applyAlignment="1" applyProtection="1">
      <alignment horizontal="center"/>
    </xf>
    <xf numFmtId="0" fontId="6" fillId="0" borderId="62" xfId="0" applyFont="1" applyBorder="1" applyAlignment="1" applyProtection="1">
      <alignment horizontal="center"/>
    </xf>
    <xf numFmtId="0" fontId="6" fillId="0" borderId="45" xfId="0" applyFont="1" applyBorder="1" applyAlignment="1" applyProtection="1">
      <alignment horizontal="center"/>
    </xf>
    <xf numFmtId="0" fontId="6" fillId="0" borderId="63" xfId="0" applyFont="1" applyBorder="1" applyAlignment="1" applyProtection="1">
      <alignment horizontal="center"/>
    </xf>
    <xf numFmtId="164" fontId="26" fillId="7" borderId="64" xfId="0" applyNumberFormat="1" applyFont="1" applyFill="1" applyBorder="1" applyAlignment="1" applyProtection="1">
      <alignment horizontal="center" vertical="center"/>
      <protection locked="0"/>
    </xf>
    <xf numFmtId="164" fontId="26" fillId="7" borderId="65" xfId="0" applyNumberFormat="1" applyFont="1" applyFill="1" applyBorder="1" applyAlignment="1" applyProtection="1">
      <alignment horizontal="center" vertical="center"/>
      <protection locked="0"/>
    </xf>
    <xf numFmtId="179" fontId="39" fillId="7" borderId="66" xfId="0" applyNumberFormat="1" applyFont="1" applyFill="1" applyBorder="1" applyAlignment="1" applyProtection="1">
      <alignment horizontal="center"/>
      <protection locked="0"/>
    </xf>
    <xf numFmtId="179" fontId="39" fillId="7" borderId="40" xfId="0" applyNumberFormat="1" applyFont="1" applyFill="1" applyBorder="1" applyAlignment="1" applyProtection="1">
      <alignment horizontal="center"/>
      <protection locked="0"/>
    </xf>
    <xf numFmtId="179" fontId="39" fillId="7" borderId="47" xfId="0" applyNumberFormat="1" applyFont="1" applyFill="1" applyBorder="1" applyAlignment="1" applyProtection="1">
      <alignment horizontal="center"/>
      <protection locked="0"/>
    </xf>
    <xf numFmtId="0" fontId="40" fillId="7" borderId="41" xfId="0" applyFont="1" applyFill="1" applyBorder="1" applyAlignment="1" applyProtection="1">
      <alignment horizontal="center"/>
      <protection locked="0"/>
    </xf>
    <xf numFmtId="0" fontId="40" fillId="7" borderId="42" xfId="0" applyFont="1" applyFill="1" applyBorder="1" applyAlignment="1" applyProtection="1">
      <alignment horizontal="center"/>
      <protection locked="0"/>
    </xf>
    <xf numFmtId="0" fontId="40" fillId="7" borderId="43" xfId="0" applyFont="1" applyFill="1" applyBorder="1" applyAlignment="1" applyProtection="1">
      <alignment horizontal="center"/>
      <protection locked="0"/>
    </xf>
    <xf numFmtId="0" fontId="41" fillId="7" borderId="44" xfId="0" applyFont="1" applyFill="1" applyBorder="1" applyAlignment="1" applyProtection="1">
      <alignment horizontal="center"/>
      <protection locked="0"/>
    </xf>
    <xf numFmtId="0" fontId="41" fillId="7" borderId="45" xfId="0" applyFont="1" applyFill="1" applyBorder="1" applyAlignment="1" applyProtection="1">
      <alignment horizontal="center"/>
      <protection locked="0"/>
    </xf>
    <xf numFmtId="0" fontId="41" fillId="7" borderId="46" xfId="0" applyFont="1" applyFill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</xf>
    <xf numFmtId="0" fontId="36" fillId="0" borderId="45" xfId="0" applyFont="1" applyBorder="1" applyAlignment="1" applyProtection="1">
      <alignment horizontal="center"/>
    </xf>
    <xf numFmtId="0" fontId="36" fillId="0" borderId="46" xfId="0" applyFont="1" applyBorder="1" applyAlignment="1" applyProtection="1">
      <alignment horizontal="center"/>
    </xf>
    <xf numFmtId="0" fontId="38" fillId="0" borderId="17" xfId="0" applyFont="1" applyBorder="1" applyAlignment="1" applyProtection="1">
      <alignment horizontal="center"/>
    </xf>
    <xf numFmtId="0" fontId="38" fillId="0" borderId="0" xfId="0" applyFont="1" applyBorder="1" applyAlignment="1" applyProtection="1">
      <alignment horizontal="center"/>
    </xf>
    <xf numFmtId="0" fontId="38" fillId="0" borderId="16" xfId="0" applyFont="1" applyBorder="1" applyAlignment="1" applyProtection="1">
      <alignment horizontal="center"/>
    </xf>
    <xf numFmtId="179" fontId="37" fillId="0" borderId="40" xfId="0" applyNumberFormat="1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5" fillId="0" borderId="41" xfId="0" applyFont="1" applyBorder="1" applyAlignment="1" applyProtection="1">
      <alignment horizontal="center"/>
    </xf>
    <xf numFmtId="0" fontId="35" fillId="0" borderId="42" xfId="0" applyFont="1" applyBorder="1" applyAlignment="1" applyProtection="1">
      <alignment horizontal="center"/>
    </xf>
    <xf numFmtId="10" fontId="0" fillId="0" borderId="0" xfId="4" applyNumberFormat="1" applyFont="1" applyBorder="1" applyAlignment="1">
      <alignment horizontal="center"/>
    </xf>
    <xf numFmtId="0" fontId="26" fillId="0" borderId="51" xfId="3" applyFont="1" applyBorder="1" applyAlignment="1">
      <alignment horizontal="center"/>
    </xf>
    <xf numFmtId="1" fontId="28" fillId="0" borderId="67" xfId="3" applyNumberFormat="1" applyFont="1" applyBorder="1" applyAlignment="1">
      <alignment horizontal="center"/>
    </xf>
    <xf numFmtId="173" fontId="22" fillId="8" borderId="68" xfId="3" applyNumberFormat="1" applyFont="1" applyFill="1" applyBorder="1" applyAlignment="1" applyProtection="1">
      <alignment horizontal="center"/>
      <protection locked="0"/>
    </xf>
    <xf numFmtId="173" fontId="22" fillId="8" borderId="69" xfId="3" applyNumberFormat="1" applyFont="1" applyFill="1" applyBorder="1" applyAlignment="1" applyProtection="1">
      <alignment horizontal="center"/>
      <protection locked="0"/>
    </xf>
    <xf numFmtId="173" fontId="22" fillId="8" borderId="70" xfId="3" applyNumberFormat="1" applyFont="1" applyFill="1" applyBorder="1" applyAlignment="1" applyProtection="1">
      <alignment horizontal="center"/>
      <protection locked="0"/>
    </xf>
    <xf numFmtId="0" fontId="0" fillId="0" borderId="0" xfId="3" applyFont="1" applyBorder="1" applyAlignment="1">
      <alignment horizontal="center"/>
    </xf>
  </cellXfs>
  <cellStyles count="5">
    <cellStyle name="Comma" xfId="1" builtinId="3"/>
    <cellStyle name="Normal" xfId="0" builtinId="0"/>
    <cellStyle name="Normal_DuPont_Tree" xfId="2"/>
    <cellStyle name="Normal_Nelly1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95379</xdr:colOff>
      <xdr:row>96</xdr:row>
      <xdr:rowOff>83820</xdr:rowOff>
    </xdr:from>
    <xdr:ext cx="682623" cy="442429"/>
    <xdr:sp macro="[0]!Calculate_AFN_CompanyA" textlink="">
      <xdr:nvSpPr>
        <xdr:cNvPr id="4110" name="Text Box 14"/>
        <xdr:cNvSpPr txBox="1">
          <a:spLocks noChangeArrowheads="1"/>
        </xdr:cNvSpPr>
      </xdr:nvSpPr>
      <xdr:spPr bwMode="auto">
        <a:xfrm>
          <a:off x="278777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BASELINE</a:t>
          </a:r>
        </a:p>
      </xdr:txBody>
    </xdr:sp>
    <xdr:clientData/>
  </xdr:oneCellAnchor>
  <xdr:oneCellAnchor>
    <xdr:from>
      <xdr:col>7</xdr:col>
      <xdr:colOff>153829</xdr:colOff>
      <xdr:row>96</xdr:row>
      <xdr:rowOff>83820</xdr:rowOff>
    </xdr:from>
    <xdr:ext cx="682623" cy="442429"/>
    <xdr:sp macro="[0]!Calculate_AFN_CompanyB" textlink="">
      <xdr:nvSpPr>
        <xdr:cNvPr id="4111" name="Text Box 15"/>
        <xdr:cNvSpPr txBox="1">
          <a:spLocks noChangeArrowheads="1"/>
        </xdr:cNvSpPr>
      </xdr:nvSpPr>
      <xdr:spPr bwMode="auto">
        <a:xfrm>
          <a:off x="739282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A</a:t>
          </a:r>
        </a:p>
      </xdr:txBody>
    </xdr:sp>
    <xdr:clientData/>
  </xdr:oneCellAnchor>
  <xdr:oneCellAnchor>
    <xdr:from>
      <xdr:col>13</xdr:col>
      <xdr:colOff>156826</xdr:colOff>
      <xdr:row>96</xdr:row>
      <xdr:rowOff>83820</xdr:rowOff>
    </xdr:from>
    <xdr:ext cx="682623" cy="442429"/>
    <xdr:sp macro="[0]!Calculate_AFN_CompanyC" textlink="">
      <xdr:nvSpPr>
        <xdr:cNvPr id="4500" name="Text Box 404"/>
        <xdr:cNvSpPr txBox="1">
          <a:spLocks noChangeArrowheads="1"/>
        </xdr:cNvSpPr>
      </xdr:nvSpPr>
      <xdr:spPr bwMode="auto">
        <a:xfrm>
          <a:off x="11853526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B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539115</xdr:colOff>
      <xdr:row>21</xdr:row>
      <xdr:rowOff>133350</xdr:rowOff>
    </xdr:from>
    <xdr:to>
      <xdr:col>5</xdr:col>
      <xdr:colOff>558207</xdr:colOff>
      <xdr:row>27</xdr:row>
      <xdr:rowOff>55379</xdr:rowOff>
    </xdr:to>
    <xdr:sp macro="" textlink="">
      <xdr:nvSpPr>
        <xdr:cNvPr id="6224" name="Text Box 80"/>
        <xdr:cNvSpPr txBox="1">
          <a:spLocks noChangeArrowheads="1"/>
        </xdr:cNvSpPr>
      </xdr:nvSpPr>
      <xdr:spPr bwMode="auto">
        <a:xfrm>
          <a:off x="1162050" y="3981450"/>
          <a:ext cx="286702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Note that in the forecasting stage of the project, this DuPont tree should be used to present the </a:t>
          </a:r>
          <a:r>
            <a:rPr lang="en-US" sz="1200" b="1" i="0" strike="noStrike">
              <a:solidFill>
                <a:srgbClr val="FF0000"/>
              </a:solidFill>
              <a:latin typeface="Arial"/>
              <a:cs typeface="Arial"/>
            </a:rPr>
            <a:t>ASSUMPTIONS 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of your forecast instead of the OUTCOME.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409575</xdr:colOff>
      <xdr:row>10</xdr:row>
      <xdr:rowOff>85725</xdr:rowOff>
    </xdr:from>
    <xdr:to>
      <xdr:col>8</xdr:col>
      <xdr:colOff>409575</xdr:colOff>
      <xdr:row>11</xdr:row>
      <xdr:rowOff>0</xdr:rowOff>
    </xdr:to>
    <xdr:sp macro="" textlink="">
      <xdr:nvSpPr>
        <xdr:cNvPr id="12720" name="Line 139"/>
        <xdr:cNvSpPr>
          <a:spLocks noChangeShapeType="1"/>
        </xdr:cNvSpPr>
      </xdr:nvSpPr>
      <xdr:spPr bwMode="auto">
        <a:xfrm>
          <a:off x="5267325" y="1962150"/>
          <a:ext cx="0" cy="7620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200025</xdr:colOff>
      <xdr:row>5</xdr:row>
      <xdr:rowOff>200025</xdr:rowOff>
    </xdr:from>
    <xdr:to>
      <xdr:col>16</xdr:col>
      <xdr:colOff>333375</xdr:colOff>
      <xdr:row>29</xdr:row>
      <xdr:rowOff>85725</xdr:rowOff>
    </xdr:to>
    <xdr:grpSp>
      <xdr:nvGrpSpPr>
        <xdr:cNvPr id="12721" name="Group 165"/>
        <xdr:cNvGrpSpPr>
          <a:grpSpLocks/>
        </xdr:cNvGrpSpPr>
      </xdr:nvGrpSpPr>
      <xdr:grpSpPr bwMode="auto">
        <a:xfrm>
          <a:off x="200025" y="1181100"/>
          <a:ext cx="9067800" cy="3981450"/>
          <a:chOff x="21" y="124"/>
          <a:chExt cx="952" cy="411"/>
        </a:xfrm>
      </xdr:grpSpPr>
      <xdr:grpSp>
        <xdr:nvGrpSpPr>
          <xdr:cNvPr id="12728" name="Group 157"/>
          <xdr:cNvGrpSpPr>
            <a:grpSpLocks/>
          </xdr:cNvGrpSpPr>
        </xdr:nvGrpSpPr>
        <xdr:grpSpPr bwMode="auto">
          <a:xfrm>
            <a:off x="252" y="124"/>
            <a:ext cx="548" cy="15"/>
            <a:chOff x="533" y="244"/>
            <a:chExt cx="1164" cy="31"/>
          </a:xfrm>
        </xdr:grpSpPr>
        <xdr:sp macro="" textlink="">
          <xdr:nvSpPr>
            <xdr:cNvPr id="12763" name="AutoShape 134"/>
            <xdr:cNvSpPr>
              <a:spLocks/>
            </xdr:cNvSpPr>
          </xdr:nvSpPr>
          <xdr:spPr bwMode="auto">
            <a:xfrm rot="-5400000">
              <a:off x="1107" y="-314"/>
              <a:ext cx="15" cy="1164"/>
            </a:xfrm>
            <a:prstGeom prst="rightBracket">
              <a:avLst>
                <a:gd name="adj" fmla="val 646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4" name="Line 138"/>
            <xdr:cNvSpPr>
              <a:spLocks noChangeShapeType="1"/>
            </xdr:cNvSpPr>
          </xdr:nvSpPr>
          <xdr:spPr bwMode="auto">
            <a:xfrm flipH="1">
              <a:off x="1182" y="244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29" name="Group 156"/>
          <xdr:cNvGrpSpPr>
            <a:grpSpLocks/>
          </xdr:cNvGrpSpPr>
        </xdr:nvGrpSpPr>
        <xdr:grpSpPr bwMode="auto">
          <a:xfrm>
            <a:off x="176" y="208"/>
            <a:ext cx="795" cy="12"/>
            <a:chOff x="372" y="400"/>
            <a:chExt cx="1687" cy="25"/>
          </a:xfrm>
        </xdr:grpSpPr>
        <xdr:sp macro="" textlink="">
          <xdr:nvSpPr>
            <xdr:cNvPr id="12757" name="AutoShape 135"/>
            <xdr:cNvSpPr>
              <a:spLocks/>
            </xdr:cNvSpPr>
          </xdr:nvSpPr>
          <xdr:spPr bwMode="auto">
            <a:xfrm rot="-5400000">
              <a:off x="612" y="177"/>
              <a:ext cx="8" cy="487"/>
            </a:xfrm>
            <a:prstGeom prst="rightBracket">
              <a:avLst>
                <a:gd name="adj" fmla="val 50729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8" name="AutoShape 136"/>
            <xdr:cNvSpPr>
              <a:spLocks/>
            </xdr:cNvSpPr>
          </xdr:nvSpPr>
          <xdr:spPr bwMode="auto">
            <a:xfrm rot="-5400000">
              <a:off x="1106" y="172"/>
              <a:ext cx="8" cy="498"/>
            </a:xfrm>
            <a:prstGeom prst="rightBracket">
              <a:avLst>
                <a:gd name="adj" fmla="val 51875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9" name="AutoShape 137"/>
            <xdr:cNvSpPr>
              <a:spLocks/>
            </xdr:cNvSpPr>
          </xdr:nvSpPr>
          <xdr:spPr bwMode="auto">
            <a:xfrm rot="-5400000">
              <a:off x="1527" y="250"/>
              <a:ext cx="9" cy="341"/>
            </a:xfrm>
            <a:prstGeom prst="rightBracket">
              <a:avLst>
                <a:gd name="adj" fmla="val 315741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0" name="AutoShape 140"/>
            <xdr:cNvSpPr>
              <a:spLocks/>
            </xdr:cNvSpPr>
          </xdr:nvSpPr>
          <xdr:spPr bwMode="auto">
            <a:xfrm rot="-5400000">
              <a:off x="1876" y="243"/>
              <a:ext cx="9" cy="356"/>
            </a:xfrm>
            <a:prstGeom prst="rightBracket">
              <a:avLst>
                <a:gd name="adj" fmla="val 32963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1" name="Line 141"/>
            <xdr:cNvSpPr>
              <a:spLocks noChangeShapeType="1"/>
            </xdr:cNvSpPr>
          </xdr:nvSpPr>
          <xdr:spPr bwMode="auto">
            <a:xfrm flipH="1">
              <a:off x="526" y="401"/>
              <a:ext cx="0" cy="1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62" name="AutoShape 149"/>
            <xdr:cNvSpPr>
              <a:spLocks/>
            </xdr:cNvSpPr>
          </xdr:nvSpPr>
          <xdr:spPr bwMode="auto">
            <a:xfrm rot="-5400000">
              <a:off x="1652" y="216"/>
              <a:ext cx="15" cy="384"/>
            </a:xfrm>
            <a:prstGeom prst="rightBrace">
              <a:avLst>
                <a:gd name="adj1" fmla="val 213333"/>
                <a:gd name="adj2" fmla="val 6056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2730" name="Group 125"/>
          <xdr:cNvGrpSpPr>
            <a:grpSpLocks/>
          </xdr:cNvGrpSpPr>
        </xdr:nvGrpSpPr>
        <xdr:grpSpPr bwMode="auto">
          <a:xfrm>
            <a:off x="806" y="446"/>
            <a:ext cx="165" cy="11"/>
            <a:chOff x="1336" y="769"/>
            <a:chExt cx="298" cy="36"/>
          </a:xfrm>
        </xdr:grpSpPr>
        <xdr:sp macro="" textlink="">
          <xdr:nvSpPr>
            <xdr:cNvPr id="12754" name="Line 126"/>
            <xdr:cNvSpPr>
              <a:spLocks noChangeShapeType="1"/>
            </xdr:cNvSpPr>
          </xdr:nvSpPr>
          <xdr:spPr bwMode="auto">
            <a:xfrm>
              <a:off x="1336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5" name="Line 127"/>
            <xdr:cNvSpPr>
              <a:spLocks noChangeShapeType="1"/>
            </xdr:cNvSpPr>
          </xdr:nvSpPr>
          <xdr:spPr bwMode="auto">
            <a:xfrm>
              <a:off x="148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6" name="Line 128"/>
            <xdr:cNvSpPr>
              <a:spLocks noChangeShapeType="1"/>
            </xdr:cNvSpPr>
          </xdr:nvSpPr>
          <xdr:spPr bwMode="auto">
            <a:xfrm>
              <a:off x="163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1" name="Group 164"/>
          <xdr:cNvGrpSpPr>
            <a:grpSpLocks/>
          </xdr:cNvGrpSpPr>
        </xdr:nvGrpSpPr>
        <xdr:grpSpPr bwMode="auto">
          <a:xfrm>
            <a:off x="21" y="367"/>
            <a:ext cx="867" cy="168"/>
            <a:chOff x="21" y="367"/>
            <a:chExt cx="867" cy="168"/>
          </a:xfrm>
        </xdr:grpSpPr>
        <xdr:sp macro="" textlink="">
          <xdr:nvSpPr>
            <xdr:cNvPr id="12750" name="AutoShape 130"/>
            <xdr:cNvSpPr>
              <a:spLocks/>
            </xdr:cNvSpPr>
          </xdr:nvSpPr>
          <xdr:spPr bwMode="auto">
            <a:xfrm rot="-5400000">
              <a:off x="48" y="340"/>
              <a:ext cx="20" cy="73"/>
            </a:xfrm>
            <a:prstGeom prst="leftBrace">
              <a:avLst>
                <a:gd name="adj1" fmla="val 30417"/>
                <a:gd name="adj2" fmla="val 5000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1" name="Line 131"/>
            <xdr:cNvSpPr>
              <a:spLocks noChangeShapeType="1"/>
            </xdr:cNvSpPr>
          </xdr:nvSpPr>
          <xdr:spPr bwMode="auto">
            <a:xfrm>
              <a:off x="888" y="521"/>
              <a:ext cx="0" cy="1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2" name="Line 132"/>
            <xdr:cNvSpPr>
              <a:spLocks noChangeShapeType="1"/>
            </xdr:cNvSpPr>
          </xdr:nvSpPr>
          <xdr:spPr bwMode="auto">
            <a:xfrm flipH="1">
              <a:off x="54" y="535"/>
              <a:ext cx="834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3" name="Line 133"/>
            <xdr:cNvSpPr>
              <a:spLocks noChangeShapeType="1"/>
            </xdr:cNvSpPr>
          </xdr:nvSpPr>
          <xdr:spPr bwMode="auto">
            <a:xfrm flipV="1">
              <a:off x="57" y="383"/>
              <a:ext cx="0" cy="1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2" name="Group 155"/>
          <xdr:cNvGrpSpPr>
            <a:grpSpLocks/>
          </xdr:cNvGrpSpPr>
        </xdr:nvGrpSpPr>
        <xdr:grpSpPr bwMode="auto">
          <a:xfrm>
            <a:off x="469" y="359"/>
            <a:ext cx="504" cy="20"/>
            <a:chOff x="995" y="722"/>
            <a:chExt cx="1067" cy="40"/>
          </a:xfrm>
        </xdr:grpSpPr>
        <xdr:sp macro="" textlink="">
          <xdr:nvSpPr>
            <xdr:cNvPr id="12744" name="Line 117"/>
            <xdr:cNvSpPr>
              <a:spLocks noChangeShapeType="1"/>
            </xdr:cNvSpPr>
          </xdr:nvSpPr>
          <xdr:spPr bwMode="auto">
            <a:xfrm>
              <a:off x="1879" y="726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5" name="Line 122"/>
            <xdr:cNvSpPr>
              <a:spLocks noChangeShapeType="1"/>
            </xdr:cNvSpPr>
          </xdr:nvSpPr>
          <xdr:spPr bwMode="auto">
            <a:xfrm>
              <a:off x="1177" y="732"/>
              <a:ext cx="0" cy="2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6" name="Line 123"/>
            <xdr:cNvSpPr>
              <a:spLocks noChangeShapeType="1"/>
            </xdr:cNvSpPr>
          </xdr:nvSpPr>
          <xdr:spPr bwMode="auto">
            <a:xfrm>
              <a:off x="1548" y="727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7" name="Line 124"/>
            <xdr:cNvSpPr>
              <a:spLocks noChangeShapeType="1"/>
            </xdr:cNvSpPr>
          </xdr:nvSpPr>
          <xdr:spPr bwMode="auto">
            <a:xfrm>
              <a:off x="2062" y="722"/>
              <a:ext cx="0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8" name="AutoShape 145"/>
            <xdr:cNvSpPr>
              <a:spLocks/>
            </xdr:cNvSpPr>
          </xdr:nvSpPr>
          <xdr:spPr bwMode="auto">
            <a:xfrm rot="-5400000">
              <a:off x="1183" y="557"/>
              <a:ext cx="14" cy="390"/>
            </a:xfrm>
            <a:prstGeom prst="rightBracket">
              <a:avLst>
                <a:gd name="adj" fmla="val 232143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9" name="Line 148"/>
            <xdr:cNvSpPr>
              <a:spLocks noChangeShapeType="1"/>
            </xdr:cNvSpPr>
          </xdr:nvSpPr>
          <xdr:spPr bwMode="auto">
            <a:xfrm>
              <a:off x="1708" y="729"/>
              <a:ext cx="0" cy="3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3" name="Group 153"/>
          <xdr:cNvGrpSpPr>
            <a:grpSpLocks/>
          </xdr:cNvGrpSpPr>
        </xdr:nvGrpSpPr>
        <xdr:grpSpPr bwMode="auto">
          <a:xfrm>
            <a:off x="26" y="256"/>
            <a:ext cx="947" cy="26"/>
            <a:chOff x="54" y="540"/>
            <a:chExt cx="2009" cy="52"/>
          </a:xfrm>
        </xdr:grpSpPr>
        <xdr:sp macro="" textlink="">
          <xdr:nvSpPr>
            <xdr:cNvPr id="12734" name="Line 118"/>
            <xdr:cNvSpPr>
              <a:spLocks noChangeShapeType="1"/>
            </xdr:cNvSpPr>
          </xdr:nvSpPr>
          <xdr:spPr bwMode="auto">
            <a:xfrm flipH="1">
              <a:off x="371" y="548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5" name="Line 119"/>
            <xdr:cNvSpPr>
              <a:spLocks noChangeShapeType="1"/>
            </xdr:cNvSpPr>
          </xdr:nvSpPr>
          <xdr:spPr bwMode="auto">
            <a:xfrm>
              <a:off x="1357" y="540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6" name="Line 120"/>
            <xdr:cNvSpPr>
              <a:spLocks noChangeShapeType="1"/>
            </xdr:cNvSpPr>
          </xdr:nvSpPr>
          <xdr:spPr bwMode="auto">
            <a:xfrm flipH="1">
              <a:off x="1702" y="542"/>
              <a:ext cx="0" cy="3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7" name="Line 121"/>
            <xdr:cNvSpPr>
              <a:spLocks noChangeShapeType="1"/>
            </xdr:cNvSpPr>
          </xdr:nvSpPr>
          <xdr:spPr bwMode="auto">
            <a:xfrm>
              <a:off x="2063" y="543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8" name="AutoShape 142"/>
            <xdr:cNvSpPr>
              <a:spLocks/>
            </xdr:cNvSpPr>
          </xdr:nvSpPr>
          <xdr:spPr bwMode="auto">
            <a:xfrm rot="-5400000">
              <a:off x="396" y="226"/>
              <a:ext cx="24" cy="707"/>
            </a:xfrm>
            <a:prstGeom prst="rightBracket">
              <a:avLst>
                <a:gd name="adj" fmla="val 245486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39" name="Line 143"/>
            <xdr:cNvSpPr>
              <a:spLocks noChangeShapeType="1"/>
            </xdr:cNvSpPr>
          </xdr:nvSpPr>
          <xdr:spPr bwMode="auto">
            <a:xfrm flipH="1">
              <a:off x="545" y="569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0" name="Line 144"/>
            <xdr:cNvSpPr>
              <a:spLocks noChangeShapeType="1"/>
            </xdr:cNvSpPr>
          </xdr:nvSpPr>
          <xdr:spPr bwMode="auto">
            <a:xfrm flipH="1">
              <a:off x="859" y="548"/>
              <a:ext cx="0" cy="3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1" name="AutoShape 146"/>
            <xdr:cNvSpPr>
              <a:spLocks/>
            </xdr:cNvSpPr>
          </xdr:nvSpPr>
          <xdr:spPr bwMode="auto">
            <a:xfrm rot="-5400000">
              <a:off x="1347" y="391"/>
              <a:ext cx="26" cy="374"/>
            </a:xfrm>
            <a:prstGeom prst="rightBracket">
              <a:avLst>
                <a:gd name="adj" fmla="val 11987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2" name="AutoShape 147"/>
            <xdr:cNvSpPr>
              <a:spLocks/>
            </xdr:cNvSpPr>
          </xdr:nvSpPr>
          <xdr:spPr bwMode="auto">
            <a:xfrm rot="-5400000">
              <a:off x="1695" y="420"/>
              <a:ext cx="25" cy="314"/>
            </a:xfrm>
            <a:prstGeom prst="rightBracket">
              <a:avLst>
                <a:gd name="adj" fmla="val 104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3" name="Line 150"/>
            <xdr:cNvSpPr>
              <a:spLocks noChangeShapeType="1"/>
            </xdr:cNvSpPr>
          </xdr:nvSpPr>
          <xdr:spPr bwMode="auto">
            <a:xfrm flipH="1">
              <a:off x="203" y="568"/>
              <a:ext cx="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14</xdr:col>
      <xdr:colOff>85725</xdr:colOff>
      <xdr:row>6</xdr:row>
      <xdr:rowOff>28575</xdr:rowOff>
    </xdr:from>
    <xdr:to>
      <xdr:col>14</xdr:col>
      <xdr:colOff>514350</xdr:colOff>
      <xdr:row>7</xdr:row>
      <xdr:rowOff>0</xdr:rowOff>
    </xdr:to>
    <xdr:sp macro="[0]!DuPontTree_SelectYear4" textlink="">
      <xdr:nvSpPr>
        <xdr:cNvPr id="12722" name="Oval 159"/>
        <xdr:cNvSpPr>
          <a:spLocks noChangeArrowheads="1"/>
        </xdr:cNvSpPr>
      </xdr:nvSpPr>
      <xdr:spPr bwMode="auto">
        <a:xfrm>
          <a:off x="8267700" y="1219200"/>
          <a:ext cx="428625" cy="1714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5</xdr:row>
      <xdr:rowOff>28575</xdr:rowOff>
    </xdr:from>
    <xdr:to>
      <xdr:col>14</xdr:col>
      <xdr:colOff>533400</xdr:colOff>
      <xdr:row>6</xdr:row>
      <xdr:rowOff>0</xdr:rowOff>
    </xdr:to>
    <xdr:sp macro="[0]!DuPontTree_SelectYear3" textlink="">
      <xdr:nvSpPr>
        <xdr:cNvPr id="12723" name="Oval 160"/>
        <xdr:cNvSpPr>
          <a:spLocks noChangeArrowheads="1"/>
        </xdr:cNvSpPr>
      </xdr:nvSpPr>
      <xdr:spPr bwMode="auto">
        <a:xfrm>
          <a:off x="8286750" y="1009650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4</xdr:row>
      <xdr:rowOff>38100</xdr:rowOff>
    </xdr:from>
    <xdr:to>
      <xdr:col>14</xdr:col>
      <xdr:colOff>542925</xdr:colOff>
      <xdr:row>5</xdr:row>
      <xdr:rowOff>9525</xdr:rowOff>
    </xdr:to>
    <xdr:sp macro="[0]!DuPontTree_SelectYear2" textlink="">
      <xdr:nvSpPr>
        <xdr:cNvPr id="12724" name="Oval 161"/>
        <xdr:cNvSpPr>
          <a:spLocks noChangeArrowheads="1"/>
        </xdr:cNvSpPr>
      </xdr:nvSpPr>
      <xdr:spPr bwMode="auto">
        <a:xfrm>
          <a:off x="8296275" y="809625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3</xdr:row>
      <xdr:rowOff>38100</xdr:rowOff>
    </xdr:from>
    <xdr:to>
      <xdr:col>14</xdr:col>
      <xdr:colOff>542925</xdr:colOff>
      <xdr:row>4</xdr:row>
      <xdr:rowOff>9525</xdr:rowOff>
    </xdr:to>
    <xdr:sp macro="[0]!DuPontTree_SelectYear1" textlink="">
      <xdr:nvSpPr>
        <xdr:cNvPr id="12725" name="Oval 162"/>
        <xdr:cNvSpPr>
          <a:spLocks noChangeArrowheads="1"/>
        </xdr:cNvSpPr>
      </xdr:nvSpPr>
      <xdr:spPr bwMode="auto">
        <a:xfrm>
          <a:off x="8296275" y="590550"/>
          <a:ext cx="428625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</xdr:row>
      <xdr:rowOff>28575</xdr:rowOff>
    </xdr:from>
    <xdr:to>
      <xdr:col>14</xdr:col>
      <xdr:colOff>523875</xdr:colOff>
      <xdr:row>3</xdr:row>
      <xdr:rowOff>9525</xdr:rowOff>
    </xdr:to>
    <xdr:sp macro="[0]!DuPontTree_SelectYear0" textlink="">
      <xdr:nvSpPr>
        <xdr:cNvPr id="12726" name="Oval 163"/>
        <xdr:cNvSpPr>
          <a:spLocks noChangeArrowheads="1"/>
        </xdr:cNvSpPr>
      </xdr:nvSpPr>
      <xdr:spPr bwMode="auto">
        <a:xfrm>
          <a:off x="8286750" y="371475"/>
          <a:ext cx="419100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85725</xdr:colOff>
      <xdr:row>7</xdr:row>
      <xdr:rowOff>28575</xdr:rowOff>
    </xdr:from>
    <xdr:to>
      <xdr:col>14</xdr:col>
      <xdr:colOff>514350</xdr:colOff>
      <xdr:row>8</xdr:row>
      <xdr:rowOff>0</xdr:rowOff>
    </xdr:to>
    <xdr:sp macro="[0]!DuPontTree_SelectYear5" textlink="">
      <xdr:nvSpPr>
        <xdr:cNvPr id="12727" name="Oval 166"/>
        <xdr:cNvSpPr>
          <a:spLocks noChangeArrowheads="1"/>
        </xdr:cNvSpPr>
      </xdr:nvSpPr>
      <xdr:spPr bwMode="auto">
        <a:xfrm>
          <a:off x="8267700" y="1419225"/>
          <a:ext cx="428625" cy="1333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shwa/Library/Containers/com.microsoft.Excel/Data/Documents/H:\MBA\MBA%20640%20mangerial%20finance\2Team01re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From SEC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showGridLines="0" workbookViewId="0"/>
  </sheetViews>
  <sheetFormatPr baseColWidth="10" defaultColWidth="8.83203125" defaultRowHeight="13" x14ac:dyDescent="0.1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V201"/>
  <sheetViews>
    <sheetView showZeros="0" tabSelected="1" showOutlineSymbols="0" workbookViewId="0">
      <selection activeCell="B35" sqref="B35"/>
    </sheetView>
  </sheetViews>
  <sheetFormatPr baseColWidth="10" defaultColWidth="9.1640625" defaultRowHeight="13" x14ac:dyDescent="0.15"/>
  <cols>
    <col min="1" max="1" width="40.33203125" style="100" customWidth="1"/>
    <col min="2" max="2" width="14" style="100" customWidth="1"/>
    <col min="3" max="3" width="12.5" style="100" customWidth="1"/>
    <col min="4" max="6" width="12" style="100" bestFit="1" customWidth="1"/>
    <col min="7" max="7" width="12.83203125" style="100" bestFit="1" customWidth="1"/>
    <col min="8" max="8" width="11.5" style="100" customWidth="1"/>
    <col min="9" max="13" width="11" style="100" customWidth="1"/>
    <col min="14" max="14" width="11.5" style="100" customWidth="1"/>
    <col min="15" max="19" width="11" style="100" customWidth="1"/>
    <col min="20" max="21" width="9.1640625" style="100" customWidth="1"/>
    <col min="22" max="22" width="10.1640625" style="100" customWidth="1"/>
    <col min="23" max="16384" width="9.1640625" style="100"/>
  </cols>
  <sheetData>
    <row r="1" spans="1:37" ht="18" thickTop="1" thickBot="1" x14ac:dyDescent="0.25">
      <c r="A1" s="423">
        <v>2015</v>
      </c>
      <c r="B1" s="425" t="s">
        <v>188</v>
      </c>
      <c r="C1" s="426"/>
      <c r="D1" s="426"/>
      <c r="E1" s="426"/>
      <c r="F1" s="426"/>
      <c r="G1" s="427"/>
      <c r="H1" s="428" t="s">
        <v>0</v>
      </c>
      <c r="I1" s="429"/>
      <c r="J1" s="429"/>
      <c r="K1" s="429"/>
      <c r="L1" s="429"/>
      <c r="M1" s="430"/>
      <c r="N1" s="431" t="s">
        <v>1</v>
      </c>
      <c r="O1" s="432"/>
      <c r="P1" s="432"/>
      <c r="Q1" s="432"/>
      <c r="R1" s="432"/>
      <c r="S1" s="433"/>
      <c r="T1" s="440" t="str">
        <f>BASELINE</f>
        <v>ELIZABETH ARDEN INC</v>
      </c>
      <c r="U1" s="440"/>
      <c r="V1" s="440"/>
      <c r="W1" s="440"/>
      <c r="X1" s="440"/>
      <c r="Y1" s="440"/>
      <c r="Z1" s="442" t="str">
        <f>SCENARIO.A</f>
        <v>SCENARIO A</v>
      </c>
      <c r="AA1" s="443"/>
      <c r="AB1" s="443"/>
      <c r="AC1" s="443"/>
      <c r="AD1" s="443"/>
      <c r="AE1" s="443"/>
      <c r="AF1" s="434" t="str">
        <f>SCENARIO.B</f>
        <v>SCENARIO B</v>
      </c>
      <c r="AG1" s="435"/>
      <c r="AH1" s="435"/>
      <c r="AI1" s="435"/>
      <c r="AJ1" s="435"/>
      <c r="AK1" s="436"/>
    </row>
    <row r="2" spans="1:37" ht="16" thickTop="1" thickBot="1" x14ac:dyDescent="0.2">
      <c r="A2" s="424"/>
      <c r="B2" s="215" t="s">
        <v>2</v>
      </c>
      <c r="C2" s="215" t="s">
        <v>3</v>
      </c>
      <c r="D2" s="215" t="s">
        <v>3</v>
      </c>
      <c r="E2" s="215" t="s">
        <v>3</v>
      </c>
      <c r="F2" s="215" t="s">
        <v>3</v>
      </c>
      <c r="G2" s="215" t="s">
        <v>3</v>
      </c>
      <c r="H2" s="216" t="s">
        <v>2</v>
      </c>
      <c r="I2" s="217" t="s">
        <v>3</v>
      </c>
      <c r="J2" s="217" t="s">
        <v>3</v>
      </c>
      <c r="K2" s="217" t="s">
        <v>3</v>
      </c>
      <c r="L2" s="217" t="s">
        <v>3</v>
      </c>
      <c r="M2" s="218" t="s">
        <v>3</v>
      </c>
      <c r="N2" s="219" t="s">
        <v>2</v>
      </c>
      <c r="O2" s="220" t="s">
        <v>3</v>
      </c>
      <c r="P2" s="220" t="s">
        <v>3</v>
      </c>
      <c r="Q2" s="220" t="s">
        <v>3</v>
      </c>
      <c r="R2" s="220" t="s">
        <v>3</v>
      </c>
      <c r="S2" s="221" t="s">
        <v>3</v>
      </c>
      <c r="T2" s="441" t="s">
        <v>38</v>
      </c>
      <c r="U2" s="441"/>
      <c r="V2" s="441"/>
      <c r="W2" s="441"/>
      <c r="X2" s="441"/>
      <c r="Y2" s="441"/>
      <c r="Z2" s="437" t="s">
        <v>38</v>
      </c>
      <c r="AA2" s="438"/>
      <c r="AB2" s="438"/>
      <c r="AC2" s="438"/>
      <c r="AD2" s="438"/>
      <c r="AE2" s="438"/>
      <c r="AF2" s="437" t="s">
        <v>38</v>
      </c>
      <c r="AG2" s="438"/>
      <c r="AH2" s="438"/>
      <c r="AI2" s="438"/>
      <c r="AJ2" s="438"/>
      <c r="AK2" s="439"/>
    </row>
    <row r="3" spans="1:37" ht="16" thickTop="1" thickBot="1" x14ac:dyDescent="0.2">
      <c r="A3" s="230">
        <v>1000000</v>
      </c>
      <c r="B3" s="222">
        <f>CurrentYear</f>
        <v>2015</v>
      </c>
      <c r="C3" s="222">
        <f>PreviousYearFigure+1</f>
        <v>2016</v>
      </c>
      <c r="D3" s="222">
        <f>PreviousYearFigure+1</f>
        <v>2017</v>
      </c>
      <c r="E3" s="222">
        <f>PreviousYearFigure+1</f>
        <v>2018</v>
      </c>
      <c r="F3" s="222">
        <f>PreviousYearFigure+1</f>
        <v>2019</v>
      </c>
      <c r="G3" s="222">
        <f>PreviousYearFigure+1</f>
        <v>2020</v>
      </c>
      <c r="H3" s="223">
        <f>CurrentYear</f>
        <v>2015</v>
      </c>
      <c r="I3" s="224">
        <f>PreviousYearFigure+1</f>
        <v>2016</v>
      </c>
      <c r="J3" s="224">
        <f>PreviousYearFigure+1</f>
        <v>2017</v>
      </c>
      <c r="K3" s="224">
        <f>PreviousYearFigure+1</f>
        <v>2018</v>
      </c>
      <c r="L3" s="224">
        <f>PreviousYearFigure+1</f>
        <v>2019</v>
      </c>
      <c r="M3" s="225">
        <f>PreviousYearFigure+1</f>
        <v>2020</v>
      </c>
      <c r="N3" s="226">
        <f>CurrentYear</f>
        <v>2015</v>
      </c>
      <c r="O3" s="227">
        <f>PreviousYearFigure+1</f>
        <v>2016</v>
      </c>
      <c r="P3" s="227">
        <f>PreviousYearFigure+1</f>
        <v>2017</v>
      </c>
      <c r="Q3" s="227">
        <f>PreviousYearFigure+1</f>
        <v>2018</v>
      </c>
      <c r="R3" s="227">
        <f>PreviousYearFigure+1</f>
        <v>2019</v>
      </c>
      <c r="S3" s="228">
        <f>PreviousYearFigure+1</f>
        <v>2020</v>
      </c>
      <c r="T3" s="222">
        <f>CurrentYear</f>
        <v>2015</v>
      </c>
      <c r="U3" s="222">
        <f>PreviousYearFigure+1</f>
        <v>2016</v>
      </c>
      <c r="V3" s="222">
        <f>PreviousYearFigure+1</f>
        <v>2017</v>
      </c>
      <c r="W3" s="222">
        <f>PreviousYearFigure+1</f>
        <v>2018</v>
      </c>
      <c r="X3" s="222">
        <f>PreviousYearFigure+1</f>
        <v>2019</v>
      </c>
      <c r="Y3" s="229">
        <f>PreviousYearFigure+1</f>
        <v>2020</v>
      </c>
      <c r="Z3" s="223">
        <f>CurrentYear</f>
        <v>2015</v>
      </c>
      <c r="AA3" s="224">
        <f>PreviousYearFigure+1</f>
        <v>2016</v>
      </c>
      <c r="AB3" s="224">
        <f>PreviousYearFigure+1</f>
        <v>2017</v>
      </c>
      <c r="AC3" s="224">
        <f>PreviousYearFigure+1</f>
        <v>2018</v>
      </c>
      <c r="AD3" s="224">
        <f>PreviousYearFigure+1</f>
        <v>2019</v>
      </c>
      <c r="AE3" s="224">
        <f>PreviousYearFigure+1</f>
        <v>2020</v>
      </c>
      <c r="AF3" s="226">
        <f>CurrentYear</f>
        <v>2015</v>
      </c>
      <c r="AG3" s="227">
        <f>PreviousYearFigure+1</f>
        <v>2016</v>
      </c>
      <c r="AH3" s="227">
        <f>PreviousYearFigure+1</f>
        <v>2017</v>
      </c>
      <c r="AI3" s="227">
        <f>PreviousYearFigure+1</f>
        <v>2018</v>
      </c>
      <c r="AJ3" s="227">
        <f>PreviousYearFigure+1</f>
        <v>2019</v>
      </c>
      <c r="AK3" s="228">
        <f>PreviousYearFigure+1</f>
        <v>2020</v>
      </c>
    </row>
    <row r="4" spans="1:37" ht="18" thickTop="1" thickBot="1" x14ac:dyDescent="0.25">
      <c r="A4" s="101" t="s">
        <v>4</v>
      </c>
      <c r="B4" s="286"/>
      <c r="C4" s="286"/>
      <c r="D4" s="286"/>
      <c r="E4" s="286"/>
      <c r="F4" s="286"/>
      <c r="G4" s="286"/>
      <c r="H4" s="287"/>
      <c r="I4" s="288"/>
      <c r="J4" s="288"/>
      <c r="K4" s="288"/>
      <c r="L4" s="288"/>
      <c r="M4" s="289"/>
      <c r="N4" s="287"/>
      <c r="O4" s="288"/>
      <c r="P4" s="288"/>
      <c r="Q4" s="288"/>
      <c r="R4" s="288"/>
      <c r="S4" s="289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5"/>
      <c r="AI4" s="235"/>
      <c r="AJ4" s="235"/>
      <c r="AK4" s="235"/>
    </row>
    <row r="5" spans="1:37" ht="15" thickTop="1" thickBot="1" x14ac:dyDescent="0.2">
      <c r="A5" s="102" t="s">
        <v>156</v>
      </c>
      <c r="B5" s="284">
        <v>-8.4900000000000003E-2</v>
      </c>
      <c r="C5" s="282">
        <f>IF(Alt.Sales.g=0,Historical.g,Alt.Sales.g)</f>
        <v>-8.4900000000000003E-2</v>
      </c>
      <c r="D5" s="282">
        <f>C5</f>
        <v>-8.4900000000000003E-2</v>
      </c>
      <c r="E5" s="282">
        <f>D5</f>
        <v>-8.4900000000000003E-2</v>
      </c>
      <c r="F5" s="282">
        <f>E5</f>
        <v>-8.4900000000000003E-2</v>
      </c>
      <c r="G5" s="282">
        <f>F5</f>
        <v>-8.4900000000000003E-2</v>
      </c>
      <c r="H5" s="324"/>
      <c r="I5" s="171">
        <f>C5</f>
        <v>-8.4900000000000003E-2</v>
      </c>
      <c r="J5" s="171">
        <f>D5</f>
        <v>-8.4900000000000003E-2</v>
      </c>
      <c r="K5" s="171">
        <f>E5</f>
        <v>-8.4900000000000003E-2</v>
      </c>
      <c r="L5" s="171">
        <f>F5</f>
        <v>-8.4900000000000003E-2</v>
      </c>
      <c r="M5" s="172">
        <f>G5</f>
        <v>-8.4900000000000003E-2</v>
      </c>
      <c r="N5" s="324"/>
      <c r="O5" s="210">
        <f>C5</f>
        <v>-8.4900000000000003E-2</v>
      </c>
      <c r="P5" s="210">
        <f>D5</f>
        <v>-8.4900000000000003E-2</v>
      </c>
      <c r="Q5" s="210">
        <f>E5</f>
        <v>-8.4900000000000003E-2</v>
      </c>
      <c r="R5" s="210">
        <f>F5</f>
        <v>-8.4900000000000003E-2</v>
      </c>
      <c r="S5" s="211">
        <f>G5</f>
        <v>-8.4900000000000003E-2</v>
      </c>
    </row>
    <row r="6" spans="1:37" ht="14" thickTop="1" x14ac:dyDescent="0.15">
      <c r="A6" s="103" t="s">
        <v>5</v>
      </c>
      <c r="B6" s="104">
        <f>COGS/Sales</f>
        <v>0.64097135407548977</v>
      </c>
      <c r="C6" s="96">
        <f t="shared" ref="C6:G15" si="0">$B6</f>
        <v>0.64097135407548977</v>
      </c>
      <c r="D6" s="96">
        <f t="shared" si="0"/>
        <v>0.64097135407548977</v>
      </c>
      <c r="E6" s="96">
        <f t="shared" si="0"/>
        <v>0.64097135407548977</v>
      </c>
      <c r="F6" s="96">
        <f t="shared" si="0"/>
        <v>0.64097135407548977</v>
      </c>
      <c r="G6" s="96">
        <f t="shared" si="0"/>
        <v>0.64097135407548977</v>
      </c>
      <c r="H6" s="405">
        <f>COGS/Sales</f>
        <v>0.64097135407548977</v>
      </c>
      <c r="I6" s="171">
        <f t="shared" ref="I6:M15" si="1">$H6</f>
        <v>0.64097135407548977</v>
      </c>
      <c r="J6" s="171">
        <f t="shared" si="1"/>
        <v>0.64097135407548977</v>
      </c>
      <c r="K6" s="171">
        <f t="shared" si="1"/>
        <v>0.64097135407548977</v>
      </c>
      <c r="L6" s="171">
        <f t="shared" si="1"/>
        <v>0.64097135407548977</v>
      </c>
      <c r="M6" s="172">
        <f t="shared" si="1"/>
        <v>0.64097135407548977</v>
      </c>
      <c r="N6" s="405">
        <f>COGS/Sales</f>
        <v>0.64097135407548977</v>
      </c>
      <c r="O6" s="171">
        <f t="shared" ref="O6:S15" si="2">$N6</f>
        <v>0.64097135407548977</v>
      </c>
      <c r="P6" s="171">
        <f t="shared" si="2"/>
        <v>0.64097135407548977</v>
      </c>
      <c r="Q6" s="171">
        <f t="shared" si="2"/>
        <v>0.64097135407548977</v>
      </c>
      <c r="R6" s="171">
        <f t="shared" si="2"/>
        <v>0.64097135407548977</v>
      </c>
      <c r="S6" s="172">
        <f t="shared" si="2"/>
        <v>0.64097135407548977</v>
      </c>
    </row>
    <row r="7" spans="1:37" x14ac:dyDescent="0.15">
      <c r="A7" s="103" t="s">
        <v>181</v>
      </c>
      <c r="B7" s="104">
        <f>OperatingExpenses/Sales</f>
        <v>0.51179592584888445</v>
      </c>
      <c r="C7" s="96">
        <f t="shared" si="0"/>
        <v>0.51179592584888445</v>
      </c>
      <c r="D7" s="96">
        <f t="shared" si="0"/>
        <v>0.51179592584888445</v>
      </c>
      <c r="E7" s="96">
        <f t="shared" si="0"/>
        <v>0.51179592584888445</v>
      </c>
      <c r="F7" s="96">
        <f t="shared" si="0"/>
        <v>0.51179592584888445</v>
      </c>
      <c r="G7" s="96">
        <f t="shared" si="0"/>
        <v>0.51179592584888445</v>
      </c>
      <c r="H7" s="405">
        <f>OperatingExpenses/Sales</f>
        <v>0.51179592584888445</v>
      </c>
      <c r="I7" s="171">
        <f t="shared" si="1"/>
        <v>0.51179592584888445</v>
      </c>
      <c r="J7" s="171">
        <f t="shared" si="1"/>
        <v>0.51179592584888445</v>
      </c>
      <c r="K7" s="171">
        <f t="shared" si="1"/>
        <v>0.51179592584888445</v>
      </c>
      <c r="L7" s="171">
        <f t="shared" si="1"/>
        <v>0.51179592584888445</v>
      </c>
      <c r="M7" s="172">
        <f t="shared" si="1"/>
        <v>0.51179592584888445</v>
      </c>
      <c r="N7" s="405">
        <f>OperatingExpenses/Sales</f>
        <v>0.51179592584888445</v>
      </c>
      <c r="O7" s="171">
        <f t="shared" si="2"/>
        <v>0.51179592584888445</v>
      </c>
      <c r="P7" s="171">
        <f t="shared" si="2"/>
        <v>0.51179592584888445</v>
      </c>
      <c r="Q7" s="171">
        <f t="shared" si="2"/>
        <v>0.51179592584888445</v>
      </c>
      <c r="R7" s="171">
        <f t="shared" si="2"/>
        <v>0.51179592584888445</v>
      </c>
      <c r="S7" s="172">
        <f t="shared" si="2"/>
        <v>0.51179592584888445</v>
      </c>
    </row>
    <row r="8" spans="1:37" x14ac:dyDescent="0.15">
      <c r="A8" s="103" t="s">
        <v>186</v>
      </c>
      <c r="B8" s="104">
        <f>NonOperatingExpenses/Sales</f>
        <v>5.6534973813147593E-2</v>
      </c>
      <c r="C8" s="96">
        <f t="shared" si="0"/>
        <v>5.6534973813147593E-2</v>
      </c>
      <c r="D8" s="96">
        <f t="shared" si="0"/>
        <v>5.6534973813147593E-2</v>
      </c>
      <c r="E8" s="96">
        <f t="shared" si="0"/>
        <v>5.6534973813147593E-2</v>
      </c>
      <c r="F8" s="96">
        <f t="shared" si="0"/>
        <v>5.6534973813147593E-2</v>
      </c>
      <c r="G8" s="96">
        <f t="shared" si="0"/>
        <v>5.6534973813147593E-2</v>
      </c>
      <c r="H8" s="405">
        <f>NonOperatingExpenses/Sales</f>
        <v>5.6534973813147593E-2</v>
      </c>
      <c r="I8" s="171">
        <f t="shared" si="1"/>
        <v>5.6534973813147593E-2</v>
      </c>
      <c r="J8" s="171">
        <f t="shared" si="1"/>
        <v>5.6534973813147593E-2</v>
      </c>
      <c r="K8" s="171">
        <f t="shared" si="1"/>
        <v>5.6534973813147593E-2</v>
      </c>
      <c r="L8" s="171">
        <f t="shared" si="1"/>
        <v>5.6534973813147593E-2</v>
      </c>
      <c r="M8" s="172">
        <f t="shared" si="1"/>
        <v>5.6534973813147593E-2</v>
      </c>
      <c r="N8" s="405">
        <f>NonOperatingExpenses/Sales</f>
        <v>5.6534973813147593E-2</v>
      </c>
      <c r="O8" s="171">
        <f t="shared" si="2"/>
        <v>5.6534973813147593E-2</v>
      </c>
      <c r="P8" s="171">
        <f t="shared" si="2"/>
        <v>5.6534973813147593E-2</v>
      </c>
      <c r="Q8" s="171">
        <f t="shared" si="2"/>
        <v>5.6534973813147593E-2</v>
      </c>
      <c r="R8" s="171">
        <f t="shared" si="2"/>
        <v>5.6534973813147593E-2</v>
      </c>
      <c r="S8" s="172">
        <f t="shared" si="2"/>
        <v>5.6534973813147593E-2</v>
      </c>
    </row>
    <row r="9" spans="1:37" x14ac:dyDescent="0.15">
      <c r="A9" s="103" t="s">
        <v>6</v>
      </c>
      <c r="B9" s="104">
        <f>Depreciation/NPPE</f>
        <v>0.38530159420152899</v>
      </c>
      <c r="C9" s="96">
        <f t="shared" si="0"/>
        <v>0.38530159420152899</v>
      </c>
      <c r="D9" s="96">
        <f t="shared" si="0"/>
        <v>0.38530159420152899</v>
      </c>
      <c r="E9" s="96">
        <f t="shared" si="0"/>
        <v>0.38530159420152899</v>
      </c>
      <c r="F9" s="96">
        <f t="shared" si="0"/>
        <v>0.38530159420152899</v>
      </c>
      <c r="G9" s="96">
        <f t="shared" si="0"/>
        <v>0.38530159420152899</v>
      </c>
      <c r="H9" s="405">
        <f>Depreciation/NPPE</f>
        <v>0.38530159420152899</v>
      </c>
      <c r="I9" s="171">
        <f t="shared" si="1"/>
        <v>0.38530159420152899</v>
      </c>
      <c r="J9" s="171">
        <f t="shared" si="1"/>
        <v>0.38530159420152899</v>
      </c>
      <c r="K9" s="171">
        <f t="shared" si="1"/>
        <v>0.38530159420152899</v>
      </c>
      <c r="L9" s="171">
        <f t="shared" si="1"/>
        <v>0.38530159420152899</v>
      </c>
      <c r="M9" s="172">
        <f t="shared" si="1"/>
        <v>0.38530159420152899</v>
      </c>
      <c r="N9" s="405">
        <f>Depreciation/NPPE</f>
        <v>0.38530159420152899</v>
      </c>
      <c r="O9" s="171">
        <f t="shared" si="2"/>
        <v>0.38530159420152899</v>
      </c>
      <c r="P9" s="171">
        <f t="shared" si="2"/>
        <v>0.38530159420152899</v>
      </c>
      <c r="Q9" s="171">
        <f t="shared" si="2"/>
        <v>0.38530159420152899</v>
      </c>
      <c r="R9" s="171">
        <f t="shared" si="2"/>
        <v>0.38530159420152899</v>
      </c>
      <c r="S9" s="172">
        <f t="shared" si="2"/>
        <v>0.38530159420152899</v>
      </c>
    </row>
    <row r="10" spans="1:37" x14ac:dyDescent="0.15">
      <c r="A10" s="103" t="s">
        <v>7</v>
      </c>
      <c r="B10" s="104">
        <f>Cash/Sales</f>
        <v>4.7456590375018794E-2</v>
      </c>
      <c r="C10" s="96">
        <f t="shared" si="0"/>
        <v>4.7456590375018794E-2</v>
      </c>
      <c r="D10" s="96">
        <f t="shared" si="0"/>
        <v>4.7456590375018794E-2</v>
      </c>
      <c r="E10" s="96">
        <f t="shared" si="0"/>
        <v>4.7456590375018794E-2</v>
      </c>
      <c r="F10" s="96">
        <f t="shared" si="0"/>
        <v>4.7456590375018794E-2</v>
      </c>
      <c r="G10" s="96">
        <f t="shared" si="0"/>
        <v>4.7456590375018794E-2</v>
      </c>
      <c r="H10" s="405">
        <f>Cash/Sales</f>
        <v>4.7456590375018794E-2</v>
      </c>
      <c r="I10" s="171">
        <f t="shared" si="1"/>
        <v>4.7456590375018794E-2</v>
      </c>
      <c r="J10" s="171">
        <f t="shared" si="1"/>
        <v>4.7456590375018794E-2</v>
      </c>
      <c r="K10" s="171">
        <f t="shared" si="1"/>
        <v>4.7456590375018794E-2</v>
      </c>
      <c r="L10" s="171">
        <f t="shared" si="1"/>
        <v>4.7456590375018794E-2</v>
      </c>
      <c r="M10" s="172">
        <f t="shared" si="1"/>
        <v>4.7456590375018794E-2</v>
      </c>
      <c r="N10" s="405">
        <f>Cash/Sales</f>
        <v>4.7456590375018794E-2</v>
      </c>
      <c r="O10" s="171">
        <f t="shared" si="2"/>
        <v>4.7456590375018794E-2</v>
      </c>
      <c r="P10" s="171">
        <f t="shared" si="2"/>
        <v>4.7456590375018794E-2</v>
      </c>
      <c r="Q10" s="171">
        <f t="shared" si="2"/>
        <v>4.7456590375018794E-2</v>
      </c>
      <c r="R10" s="171">
        <f t="shared" si="2"/>
        <v>4.7456590375018794E-2</v>
      </c>
      <c r="S10" s="172">
        <f t="shared" si="2"/>
        <v>4.7456590375018794E-2</v>
      </c>
    </row>
    <row r="11" spans="1:37" x14ac:dyDescent="0.15">
      <c r="A11" s="103" t="s">
        <v>8</v>
      </c>
      <c r="B11" s="104">
        <f>AccountsReceivable/Sales</f>
        <v>0.1085513511509652</v>
      </c>
      <c r="C11" s="96">
        <f t="shared" si="0"/>
        <v>0.1085513511509652</v>
      </c>
      <c r="D11" s="96">
        <f t="shared" si="0"/>
        <v>0.1085513511509652</v>
      </c>
      <c r="E11" s="96">
        <f t="shared" si="0"/>
        <v>0.1085513511509652</v>
      </c>
      <c r="F11" s="96">
        <f t="shared" si="0"/>
        <v>0.1085513511509652</v>
      </c>
      <c r="G11" s="96">
        <f t="shared" si="0"/>
        <v>0.1085513511509652</v>
      </c>
      <c r="H11" s="405">
        <f>AccountsReceivable/Sales</f>
        <v>0.1085513511509652</v>
      </c>
      <c r="I11" s="171">
        <f t="shared" si="1"/>
        <v>0.1085513511509652</v>
      </c>
      <c r="J11" s="171">
        <f t="shared" si="1"/>
        <v>0.1085513511509652</v>
      </c>
      <c r="K11" s="171">
        <f t="shared" si="1"/>
        <v>0.1085513511509652</v>
      </c>
      <c r="L11" s="171">
        <f t="shared" si="1"/>
        <v>0.1085513511509652</v>
      </c>
      <c r="M11" s="172">
        <f t="shared" si="1"/>
        <v>0.1085513511509652</v>
      </c>
      <c r="N11" s="405">
        <f>AccountsReceivable/Sales</f>
        <v>0.1085513511509652</v>
      </c>
      <c r="O11" s="171">
        <f t="shared" si="2"/>
        <v>0.1085513511509652</v>
      </c>
      <c r="P11" s="171">
        <f t="shared" si="2"/>
        <v>0.1085513511509652</v>
      </c>
      <c r="Q11" s="171">
        <f t="shared" si="2"/>
        <v>0.1085513511509652</v>
      </c>
      <c r="R11" s="171">
        <f t="shared" si="2"/>
        <v>0.1085513511509652</v>
      </c>
      <c r="S11" s="172">
        <f t="shared" si="2"/>
        <v>0.1085513511509652</v>
      </c>
    </row>
    <row r="12" spans="1:37" x14ac:dyDescent="0.15">
      <c r="A12" s="103" t="s">
        <v>9</v>
      </c>
      <c r="B12" s="104">
        <f>Inventories/Sales</f>
        <v>0.24790494883111694</v>
      </c>
      <c r="C12" s="96">
        <f t="shared" si="0"/>
        <v>0.24790494883111694</v>
      </c>
      <c r="D12" s="96">
        <f t="shared" si="0"/>
        <v>0.24790494883111694</v>
      </c>
      <c r="E12" s="96">
        <f t="shared" si="0"/>
        <v>0.24790494883111694</v>
      </c>
      <c r="F12" s="96">
        <f t="shared" si="0"/>
        <v>0.24790494883111694</v>
      </c>
      <c r="G12" s="96">
        <f t="shared" si="0"/>
        <v>0.24790494883111694</v>
      </c>
      <c r="H12" s="405">
        <f>Inventories/Sales</f>
        <v>0.24790494883111694</v>
      </c>
      <c r="I12" s="171">
        <f t="shared" si="1"/>
        <v>0.24790494883111694</v>
      </c>
      <c r="J12" s="171">
        <f t="shared" si="1"/>
        <v>0.24790494883111694</v>
      </c>
      <c r="K12" s="171">
        <f t="shared" si="1"/>
        <v>0.24790494883111694</v>
      </c>
      <c r="L12" s="171">
        <f t="shared" si="1"/>
        <v>0.24790494883111694</v>
      </c>
      <c r="M12" s="172">
        <f t="shared" si="1"/>
        <v>0.24790494883111694</v>
      </c>
      <c r="N12" s="405">
        <f>Inventories/Sales</f>
        <v>0.24790494883111694</v>
      </c>
      <c r="O12" s="171">
        <f t="shared" si="2"/>
        <v>0.24790494883111694</v>
      </c>
      <c r="P12" s="171">
        <f t="shared" si="2"/>
        <v>0.24790494883111694</v>
      </c>
      <c r="Q12" s="171">
        <f t="shared" si="2"/>
        <v>0.24790494883111694</v>
      </c>
      <c r="R12" s="171">
        <f t="shared" si="2"/>
        <v>0.24790494883111694</v>
      </c>
      <c r="S12" s="172">
        <f t="shared" si="2"/>
        <v>0.24790494883111694</v>
      </c>
    </row>
    <row r="13" spans="1:37" x14ac:dyDescent="0.15">
      <c r="A13" s="103" t="s">
        <v>10</v>
      </c>
      <c r="B13" s="104">
        <f>OtherCurrentAssets/Sales</f>
        <v>3.2603300593760876E-2</v>
      </c>
      <c r="C13" s="96">
        <f t="shared" si="0"/>
        <v>3.2603300593760876E-2</v>
      </c>
      <c r="D13" s="96">
        <f t="shared" si="0"/>
        <v>3.2603300593760876E-2</v>
      </c>
      <c r="E13" s="96">
        <f t="shared" si="0"/>
        <v>3.2603300593760876E-2</v>
      </c>
      <c r="F13" s="96">
        <f t="shared" si="0"/>
        <v>3.2603300593760876E-2</v>
      </c>
      <c r="G13" s="96">
        <f t="shared" si="0"/>
        <v>3.2603300593760876E-2</v>
      </c>
      <c r="H13" s="405">
        <f>OtherCurrentAssets/Sales</f>
        <v>3.2603300593760876E-2</v>
      </c>
      <c r="I13" s="171">
        <f t="shared" si="1"/>
        <v>3.2603300593760876E-2</v>
      </c>
      <c r="J13" s="171">
        <f t="shared" si="1"/>
        <v>3.2603300593760876E-2</v>
      </c>
      <c r="K13" s="171">
        <f t="shared" si="1"/>
        <v>3.2603300593760876E-2</v>
      </c>
      <c r="L13" s="171">
        <f t="shared" si="1"/>
        <v>3.2603300593760876E-2</v>
      </c>
      <c r="M13" s="172">
        <f t="shared" si="1"/>
        <v>3.2603300593760876E-2</v>
      </c>
      <c r="N13" s="405">
        <f>OtherCurrentAssets/Sales</f>
        <v>3.2603300593760876E-2</v>
      </c>
      <c r="O13" s="171">
        <f t="shared" si="2"/>
        <v>3.2603300593760876E-2</v>
      </c>
      <c r="P13" s="171">
        <f t="shared" si="2"/>
        <v>3.2603300593760876E-2</v>
      </c>
      <c r="Q13" s="171">
        <f t="shared" si="2"/>
        <v>3.2603300593760876E-2</v>
      </c>
      <c r="R13" s="171">
        <f t="shared" si="2"/>
        <v>3.2603300593760876E-2</v>
      </c>
      <c r="S13" s="172">
        <f t="shared" si="2"/>
        <v>3.2603300593760876E-2</v>
      </c>
    </row>
    <row r="14" spans="1:37" x14ac:dyDescent="0.15">
      <c r="A14" s="103" t="s">
        <v>178</v>
      </c>
      <c r="B14" s="104">
        <f>NPPE/Sales</f>
        <v>0.10897046436096049</v>
      </c>
      <c r="C14" s="96">
        <f t="shared" si="0"/>
        <v>0.10897046436096049</v>
      </c>
      <c r="D14" s="96">
        <f t="shared" si="0"/>
        <v>0.10897046436096049</v>
      </c>
      <c r="E14" s="96">
        <f t="shared" si="0"/>
        <v>0.10897046436096049</v>
      </c>
      <c r="F14" s="96">
        <f t="shared" si="0"/>
        <v>0.10897046436096049</v>
      </c>
      <c r="G14" s="96">
        <f t="shared" si="0"/>
        <v>0.10897046436096049</v>
      </c>
      <c r="H14" s="405">
        <f>NPPE/Sales</f>
        <v>0.10897046436096049</v>
      </c>
      <c r="I14" s="171">
        <f t="shared" si="1"/>
        <v>0.10897046436096049</v>
      </c>
      <c r="J14" s="171">
        <f t="shared" si="1"/>
        <v>0.10897046436096049</v>
      </c>
      <c r="K14" s="171">
        <f t="shared" si="1"/>
        <v>0.10897046436096049</v>
      </c>
      <c r="L14" s="171">
        <f t="shared" si="1"/>
        <v>0.10897046436096049</v>
      </c>
      <c r="M14" s="172">
        <f t="shared" si="1"/>
        <v>0.10897046436096049</v>
      </c>
      <c r="N14" s="405">
        <f>NPPE/Sales</f>
        <v>0.10897046436096049</v>
      </c>
      <c r="O14" s="171">
        <f t="shared" si="2"/>
        <v>0.10897046436096049</v>
      </c>
      <c r="P14" s="171">
        <f t="shared" si="2"/>
        <v>0.10897046436096049</v>
      </c>
      <c r="Q14" s="171">
        <f t="shared" si="2"/>
        <v>0.10897046436096049</v>
      </c>
      <c r="R14" s="171">
        <f t="shared" si="2"/>
        <v>0.10897046436096049</v>
      </c>
      <c r="S14" s="172">
        <f t="shared" si="2"/>
        <v>0.10897046436096049</v>
      </c>
    </row>
    <row r="15" spans="1:37" x14ac:dyDescent="0.15">
      <c r="A15" s="103" t="s">
        <v>11</v>
      </c>
      <c r="B15" s="104">
        <f>Intangibles.OtherAssets/Sales</f>
        <v>0.28912015059242219</v>
      </c>
      <c r="C15" s="96">
        <f t="shared" si="0"/>
        <v>0.28912015059242219</v>
      </c>
      <c r="D15" s="96">
        <f t="shared" si="0"/>
        <v>0.28912015059242219</v>
      </c>
      <c r="E15" s="96">
        <f t="shared" si="0"/>
        <v>0.28912015059242219</v>
      </c>
      <c r="F15" s="96">
        <f t="shared" si="0"/>
        <v>0.28912015059242219</v>
      </c>
      <c r="G15" s="96">
        <f t="shared" si="0"/>
        <v>0.28912015059242219</v>
      </c>
      <c r="H15" s="405">
        <f>Intangibles.OtherAssets/Sales</f>
        <v>0.28912015059242219</v>
      </c>
      <c r="I15" s="171">
        <f t="shared" si="1"/>
        <v>0.28912015059242219</v>
      </c>
      <c r="J15" s="171">
        <f t="shared" si="1"/>
        <v>0.28912015059242219</v>
      </c>
      <c r="K15" s="171">
        <f t="shared" si="1"/>
        <v>0.28912015059242219</v>
      </c>
      <c r="L15" s="171">
        <f t="shared" si="1"/>
        <v>0.28912015059242219</v>
      </c>
      <c r="M15" s="172">
        <f t="shared" si="1"/>
        <v>0.28912015059242219</v>
      </c>
      <c r="N15" s="405">
        <f>Intangibles.OtherAssets/Sales</f>
        <v>0.28912015059242219</v>
      </c>
      <c r="O15" s="171">
        <f t="shared" si="2"/>
        <v>0.28912015059242219</v>
      </c>
      <c r="P15" s="171">
        <f t="shared" si="2"/>
        <v>0.28912015059242219</v>
      </c>
      <c r="Q15" s="171">
        <f t="shared" si="2"/>
        <v>0.28912015059242219</v>
      </c>
      <c r="R15" s="171">
        <f t="shared" si="2"/>
        <v>0.28912015059242219</v>
      </c>
      <c r="S15" s="172">
        <f t="shared" si="2"/>
        <v>0.28912015059242219</v>
      </c>
    </row>
    <row r="16" spans="1:37" x14ac:dyDescent="0.15">
      <c r="A16" s="103" t="s">
        <v>12</v>
      </c>
      <c r="B16" s="104">
        <f>AccountsPayable/Sales</f>
        <v>9.5457924946812781E-2</v>
      </c>
      <c r="C16" s="96">
        <f t="shared" ref="C16:G22" si="3">$B16</f>
        <v>9.5457924946812781E-2</v>
      </c>
      <c r="D16" s="96">
        <f t="shared" si="3"/>
        <v>9.5457924946812781E-2</v>
      </c>
      <c r="E16" s="96">
        <f t="shared" si="3"/>
        <v>9.5457924946812781E-2</v>
      </c>
      <c r="F16" s="96">
        <f t="shared" si="3"/>
        <v>9.5457924946812781E-2</v>
      </c>
      <c r="G16" s="96">
        <f t="shared" si="3"/>
        <v>9.5457924946812781E-2</v>
      </c>
      <c r="H16" s="405">
        <f>AccountsPayable/Sales</f>
        <v>9.5457924946812781E-2</v>
      </c>
      <c r="I16" s="171">
        <f t="shared" ref="I16:M22" si="4">$H16</f>
        <v>9.5457924946812781E-2</v>
      </c>
      <c r="J16" s="171">
        <f t="shared" si="4"/>
        <v>9.5457924946812781E-2</v>
      </c>
      <c r="K16" s="171">
        <f t="shared" si="4"/>
        <v>9.5457924946812781E-2</v>
      </c>
      <c r="L16" s="171">
        <f t="shared" si="4"/>
        <v>9.5457924946812781E-2</v>
      </c>
      <c r="M16" s="172">
        <f t="shared" si="4"/>
        <v>9.5457924946812781E-2</v>
      </c>
      <c r="N16" s="405">
        <f>AccountsPayable/Sales</f>
        <v>9.5457924946812781E-2</v>
      </c>
      <c r="O16" s="171">
        <f t="shared" ref="O16:S22" si="5">$N16</f>
        <v>9.5457924946812781E-2</v>
      </c>
      <c r="P16" s="171">
        <f t="shared" si="5"/>
        <v>9.5457924946812781E-2</v>
      </c>
      <c r="Q16" s="171">
        <f t="shared" si="5"/>
        <v>9.5457924946812781E-2</v>
      </c>
      <c r="R16" s="171">
        <f t="shared" si="5"/>
        <v>9.5457924946812781E-2</v>
      </c>
      <c r="S16" s="172">
        <f t="shared" si="5"/>
        <v>9.5457924946812781E-2</v>
      </c>
    </row>
    <row r="17" spans="1:19" x14ac:dyDescent="0.15">
      <c r="A17" s="103" t="s">
        <v>13</v>
      </c>
      <c r="B17" s="104">
        <f>Accruals/Sales</f>
        <v>0.11839999670476101</v>
      </c>
      <c r="C17" s="96">
        <f t="shared" si="3"/>
        <v>0.11839999670476101</v>
      </c>
      <c r="D17" s="96">
        <f t="shared" si="3"/>
        <v>0.11839999670476101</v>
      </c>
      <c r="E17" s="96">
        <f t="shared" si="3"/>
        <v>0.11839999670476101</v>
      </c>
      <c r="F17" s="96">
        <f t="shared" si="3"/>
        <v>0.11839999670476101</v>
      </c>
      <c r="G17" s="96">
        <f t="shared" si="3"/>
        <v>0.11839999670476101</v>
      </c>
      <c r="H17" s="405">
        <f>Accruals/Sales</f>
        <v>0.11839999670476101</v>
      </c>
      <c r="I17" s="171">
        <f t="shared" si="4"/>
        <v>0.11839999670476101</v>
      </c>
      <c r="J17" s="171">
        <f t="shared" si="4"/>
        <v>0.11839999670476101</v>
      </c>
      <c r="K17" s="171">
        <f t="shared" si="4"/>
        <v>0.11839999670476101</v>
      </c>
      <c r="L17" s="171">
        <f t="shared" si="4"/>
        <v>0.11839999670476101</v>
      </c>
      <c r="M17" s="172">
        <f t="shared" si="4"/>
        <v>0.11839999670476101</v>
      </c>
      <c r="N17" s="405">
        <f>Accruals/Sales</f>
        <v>0.11839999670476101</v>
      </c>
      <c r="O17" s="171">
        <f t="shared" si="5"/>
        <v>0.11839999670476101</v>
      </c>
      <c r="P17" s="171">
        <f t="shared" si="5"/>
        <v>0.11839999670476101</v>
      </c>
      <c r="Q17" s="171">
        <f t="shared" si="5"/>
        <v>0.11839999670476101</v>
      </c>
      <c r="R17" s="171">
        <f t="shared" si="5"/>
        <v>0.11839999670476101</v>
      </c>
      <c r="S17" s="172">
        <f t="shared" si="5"/>
        <v>0.11839999670476101</v>
      </c>
    </row>
    <row r="18" spans="1:19" ht="14" thickBot="1" x14ac:dyDescent="0.2">
      <c r="A18" s="103" t="s">
        <v>14</v>
      </c>
      <c r="B18" s="104">
        <f>OtherLiab.related.to.Sales/Sales</f>
        <v>5.6534973813147593E-2</v>
      </c>
      <c r="C18" s="96">
        <f t="shared" si="3"/>
        <v>5.6534973813147593E-2</v>
      </c>
      <c r="D18" s="96">
        <f t="shared" si="3"/>
        <v>5.6534973813147593E-2</v>
      </c>
      <c r="E18" s="96">
        <f t="shared" si="3"/>
        <v>5.6534973813147593E-2</v>
      </c>
      <c r="F18" s="96">
        <f t="shared" si="3"/>
        <v>5.6534973813147593E-2</v>
      </c>
      <c r="G18" s="96">
        <f t="shared" si="3"/>
        <v>5.6534973813147593E-2</v>
      </c>
      <c r="H18" s="405">
        <f>OtherLiab.related.to.Sales/Sales</f>
        <v>5.6534973813147593E-2</v>
      </c>
      <c r="I18" s="171">
        <f t="shared" si="4"/>
        <v>5.6534973813147593E-2</v>
      </c>
      <c r="J18" s="171">
        <f t="shared" si="4"/>
        <v>5.6534973813147593E-2</v>
      </c>
      <c r="K18" s="171">
        <f t="shared" si="4"/>
        <v>5.6534973813147593E-2</v>
      </c>
      <c r="L18" s="171">
        <f t="shared" si="4"/>
        <v>5.6534973813147593E-2</v>
      </c>
      <c r="M18" s="172">
        <f t="shared" si="4"/>
        <v>5.6534973813147593E-2</v>
      </c>
      <c r="N18" s="405">
        <f>OtherLiab.related.to.Sales/Sales</f>
        <v>5.6534973813147593E-2</v>
      </c>
      <c r="O18" s="171">
        <f t="shared" si="5"/>
        <v>5.6534973813147593E-2</v>
      </c>
      <c r="P18" s="171">
        <f t="shared" si="5"/>
        <v>5.6534973813147593E-2</v>
      </c>
      <c r="Q18" s="171">
        <f t="shared" si="5"/>
        <v>5.6534973813147593E-2</v>
      </c>
      <c r="R18" s="171">
        <f t="shared" si="5"/>
        <v>5.6534973813147593E-2</v>
      </c>
      <c r="S18" s="172">
        <f t="shared" si="5"/>
        <v>5.6534973813147593E-2</v>
      </c>
    </row>
    <row r="19" spans="1:19" ht="14" thickTop="1" x14ac:dyDescent="0.15">
      <c r="A19" s="105" t="s">
        <v>15</v>
      </c>
      <c r="B19" s="213">
        <f>Interest/(NotesPayable+LongTermDebt-STInvestments-LTInvestments)</f>
        <v>0.98460388432840984</v>
      </c>
      <c r="C19" s="96">
        <f t="shared" si="3"/>
        <v>0.98460388432840984</v>
      </c>
      <c r="D19" s="96">
        <f t="shared" si="3"/>
        <v>0.98460388432840984</v>
      </c>
      <c r="E19" s="96">
        <f t="shared" si="3"/>
        <v>0.98460388432840984</v>
      </c>
      <c r="F19" s="96">
        <f t="shared" si="3"/>
        <v>0.98460388432840984</v>
      </c>
      <c r="G19" s="96">
        <f t="shared" si="3"/>
        <v>0.98460388432840984</v>
      </c>
      <c r="H19" s="173">
        <f>$B19</f>
        <v>0.98460388432840984</v>
      </c>
      <c r="I19" s="171">
        <f t="shared" si="4"/>
        <v>0.98460388432840984</v>
      </c>
      <c r="J19" s="171">
        <f t="shared" si="4"/>
        <v>0.98460388432840984</v>
      </c>
      <c r="K19" s="171">
        <f t="shared" si="4"/>
        <v>0.98460388432840984</v>
      </c>
      <c r="L19" s="171">
        <f t="shared" si="4"/>
        <v>0.98460388432840984</v>
      </c>
      <c r="M19" s="172">
        <f t="shared" si="4"/>
        <v>0.98460388432840984</v>
      </c>
      <c r="N19" s="173">
        <f>$B19</f>
        <v>0.98460388432840984</v>
      </c>
      <c r="O19" s="171">
        <f t="shared" si="5"/>
        <v>0.98460388432840984</v>
      </c>
      <c r="P19" s="171">
        <f t="shared" si="5"/>
        <v>0.98460388432840984</v>
      </c>
      <c r="Q19" s="171">
        <f t="shared" si="5"/>
        <v>0.98460388432840984</v>
      </c>
      <c r="R19" s="171">
        <f t="shared" si="5"/>
        <v>0.98460388432840984</v>
      </c>
      <c r="S19" s="172">
        <f t="shared" si="5"/>
        <v>0.98460388432840984</v>
      </c>
    </row>
    <row r="20" spans="1:19" x14ac:dyDescent="0.15">
      <c r="A20" s="103" t="s">
        <v>16</v>
      </c>
      <c r="B20" s="213">
        <f>Interest/(NotesPayable+LongTermDebt-STInvestments-LTInvestments)</f>
        <v>0.98460388432840984</v>
      </c>
      <c r="C20" s="96">
        <f t="shared" si="3"/>
        <v>0.98460388432840984</v>
      </c>
      <c r="D20" s="96">
        <f t="shared" si="3"/>
        <v>0.98460388432840984</v>
      </c>
      <c r="E20" s="96">
        <f t="shared" si="3"/>
        <v>0.98460388432840984</v>
      </c>
      <c r="F20" s="96">
        <f t="shared" si="3"/>
        <v>0.98460388432840984</v>
      </c>
      <c r="G20" s="96">
        <f t="shared" si="3"/>
        <v>0.98460388432840984</v>
      </c>
      <c r="H20" s="173">
        <f>$B20</f>
        <v>0.98460388432840984</v>
      </c>
      <c r="I20" s="171">
        <f t="shared" si="4"/>
        <v>0.98460388432840984</v>
      </c>
      <c r="J20" s="171">
        <f t="shared" si="4"/>
        <v>0.98460388432840984</v>
      </c>
      <c r="K20" s="171">
        <f t="shared" si="4"/>
        <v>0.98460388432840984</v>
      </c>
      <c r="L20" s="171">
        <f t="shared" si="4"/>
        <v>0.98460388432840984</v>
      </c>
      <c r="M20" s="172">
        <f t="shared" si="4"/>
        <v>0.98460388432840984</v>
      </c>
      <c r="N20" s="173">
        <f>$B20</f>
        <v>0.98460388432840984</v>
      </c>
      <c r="O20" s="171">
        <f t="shared" si="5"/>
        <v>0.98460388432840984</v>
      </c>
      <c r="P20" s="171">
        <f t="shared" si="5"/>
        <v>0.98460388432840984</v>
      </c>
      <c r="Q20" s="171">
        <f t="shared" si="5"/>
        <v>0.98460388432840984</v>
      </c>
      <c r="R20" s="171">
        <f t="shared" si="5"/>
        <v>0.98460388432840984</v>
      </c>
      <c r="S20" s="172">
        <f t="shared" si="5"/>
        <v>0.98460388432840984</v>
      </c>
    </row>
    <row r="21" spans="1:19" x14ac:dyDescent="0.15">
      <c r="A21" s="103" t="s">
        <v>17</v>
      </c>
      <c r="B21" s="213">
        <f>Taxes/EBT</f>
        <v>-7.0406563719441016E-3</v>
      </c>
      <c r="C21" s="96">
        <f t="shared" si="3"/>
        <v>-7.0406563719441016E-3</v>
      </c>
      <c r="D21" s="96">
        <f t="shared" si="3"/>
        <v>-7.0406563719441016E-3</v>
      </c>
      <c r="E21" s="96">
        <f t="shared" si="3"/>
        <v>-7.0406563719441016E-3</v>
      </c>
      <c r="F21" s="96">
        <f t="shared" si="3"/>
        <v>-7.0406563719441016E-3</v>
      </c>
      <c r="G21" s="96">
        <f t="shared" si="3"/>
        <v>-7.0406563719441016E-3</v>
      </c>
      <c r="H21" s="173">
        <f>$B21</f>
        <v>-7.0406563719441016E-3</v>
      </c>
      <c r="I21" s="171">
        <f t="shared" si="4"/>
        <v>-7.0406563719441016E-3</v>
      </c>
      <c r="J21" s="171">
        <f t="shared" si="4"/>
        <v>-7.0406563719441016E-3</v>
      </c>
      <c r="K21" s="171">
        <f t="shared" si="4"/>
        <v>-7.0406563719441016E-3</v>
      </c>
      <c r="L21" s="171">
        <f t="shared" si="4"/>
        <v>-7.0406563719441016E-3</v>
      </c>
      <c r="M21" s="172">
        <f t="shared" si="4"/>
        <v>-7.0406563719441016E-3</v>
      </c>
      <c r="N21" s="173">
        <f>$B21</f>
        <v>-7.0406563719441016E-3</v>
      </c>
      <c r="O21" s="171">
        <f t="shared" si="5"/>
        <v>-7.0406563719441016E-3</v>
      </c>
      <c r="P21" s="171">
        <f t="shared" si="5"/>
        <v>-7.0406563719441016E-3</v>
      </c>
      <c r="Q21" s="171">
        <f t="shared" si="5"/>
        <v>-7.0406563719441016E-3</v>
      </c>
      <c r="R21" s="171">
        <f t="shared" si="5"/>
        <v>-7.0406563719441016E-3</v>
      </c>
      <c r="S21" s="172">
        <f t="shared" si="5"/>
        <v>-7.0406563719441016E-3</v>
      </c>
    </row>
    <row r="22" spans="1:19" x14ac:dyDescent="0.15">
      <c r="A22" s="103" t="s">
        <v>18</v>
      </c>
      <c r="B22" s="213">
        <f>IF(PreferredStock=0,,Dividends_Preferred/PreferredStock)</f>
        <v>0</v>
      </c>
      <c r="C22" s="96">
        <f t="shared" si="3"/>
        <v>0</v>
      </c>
      <c r="D22" s="96">
        <f t="shared" si="3"/>
        <v>0</v>
      </c>
      <c r="E22" s="96">
        <f t="shared" si="3"/>
        <v>0</v>
      </c>
      <c r="F22" s="96">
        <f t="shared" si="3"/>
        <v>0</v>
      </c>
      <c r="G22" s="96">
        <f t="shared" si="3"/>
        <v>0</v>
      </c>
      <c r="H22" s="173">
        <f>$B22</f>
        <v>0</v>
      </c>
      <c r="I22" s="171">
        <f t="shared" si="4"/>
        <v>0</v>
      </c>
      <c r="J22" s="171">
        <f t="shared" si="4"/>
        <v>0</v>
      </c>
      <c r="K22" s="171">
        <f t="shared" si="4"/>
        <v>0</v>
      </c>
      <c r="L22" s="171">
        <f t="shared" si="4"/>
        <v>0</v>
      </c>
      <c r="M22" s="172">
        <f t="shared" si="4"/>
        <v>0</v>
      </c>
      <c r="N22" s="173">
        <f>$B22</f>
        <v>0</v>
      </c>
      <c r="O22" s="171">
        <f t="shared" si="5"/>
        <v>0</v>
      </c>
      <c r="P22" s="171">
        <f t="shared" si="5"/>
        <v>0</v>
      </c>
      <c r="Q22" s="171">
        <f t="shared" si="5"/>
        <v>0</v>
      </c>
      <c r="R22" s="171">
        <f t="shared" si="5"/>
        <v>0</v>
      </c>
      <c r="S22" s="172">
        <f t="shared" si="5"/>
        <v>0</v>
      </c>
    </row>
    <row r="23" spans="1:19" ht="14" thickBot="1" x14ac:dyDescent="0.2">
      <c r="A23" s="106" t="s">
        <v>19</v>
      </c>
      <c r="B23" s="98">
        <v>0.1179</v>
      </c>
      <c r="C23" s="96">
        <f t="shared" ref="C23:H23" si="6">$B23</f>
        <v>0.1179</v>
      </c>
      <c r="D23" s="96">
        <f t="shared" si="6"/>
        <v>0.1179</v>
      </c>
      <c r="E23" s="96">
        <f t="shared" si="6"/>
        <v>0.1179</v>
      </c>
      <c r="F23" s="96">
        <f t="shared" si="6"/>
        <v>0.1179</v>
      </c>
      <c r="G23" s="96">
        <f t="shared" si="6"/>
        <v>0.1179</v>
      </c>
      <c r="H23" s="173">
        <f t="shared" si="6"/>
        <v>0.1179</v>
      </c>
      <c r="I23" s="171">
        <f>$H23</f>
        <v>0.1179</v>
      </c>
      <c r="J23" s="171">
        <f>$H23</f>
        <v>0.1179</v>
      </c>
      <c r="K23" s="171">
        <f>$H23</f>
        <v>0.1179</v>
      </c>
      <c r="L23" s="171">
        <f>$H23</f>
        <v>0.1179</v>
      </c>
      <c r="M23" s="172">
        <f>$H23</f>
        <v>0.1179</v>
      </c>
      <c r="N23" s="212">
        <f>$B23</f>
        <v>0.1179</v>
      </c>
      <c r="O23" s="171">
        <f>$N23</f>
        <v>0.1179</v>
      </c>
      <c r="P23" s="171">
        <f>$N23</f>
        <v>0.1179</v>
      </c>
      <c r="Q23" s="171">
        <f>$N23</f>
        <v>0.1179</v>
      </c>
      <c r="R23" s="171">
        <f>$N23</f>
        <v>0.1179</v>
      </c>
      <c r="S23" s="172">
        <f>$N23</f>
        <v>0.1179</v>
      </c>
    </row>
    <row r="24" spans="1:19" ht="14" thickTop="1" x14ac:dyDescent="0.15">
      <c r="A24" s="107" t="s">
        <v>20</v>
      </c>
      <c r="B24" s="248"/>
      <c r="C24" s="97"/>
      <c r="D24" s="97"/>
      <c r="E24" s="97"/>
      <c r="F24" s="97"/>
      <c r="G24" s="97"/>
      <c r="H24" s="249"/>
      <c r="I24" s="97"/>
      <c r="J24" s="97"/>
      <c r="K24" s="97"/>
      <c r="L24" s="97"/>
      <c r="M24" s="250"/>
      <c r="N24" s="249"/>
      <c r="O24" s="97"/>
      <c r="P24" s="97"/>
      <c r="Q24" s="97"/>
      <c r="R24" s="97"/>
      <c r="S24" s="250"/>
    </row>
    <row r="25" spans="1:19" x14ac:dyDescent="0.15">
      <c r="A25" s="103" t="s">
        <v>21</v>
      </c>
      <c r="B25" s="98">
        <v>1.5073204926577148E-2</v>
      </c>
      <c r="C25" s="96">
        <f t="shared" ref="C25:G28" si="7">$B25</f>
        <v>1.5073204926577148E-2</v>
      </c>
      <c r="D25" s="96">
        <f t="shared" si="7"/>
        <v>1.5073204926577148E-2</v>
      </c>
      <c r="E25" s="96">
        <f t="shared" si="7"/>
        <v>1.5073204926577148E-2</v>
      </c>
      <c r="F25" s="96">
        <f t="shared" si="7"/>
        <v>1.5073204926577148E-2</v>
      </c>
      <c r="G25" s="96">
        <f t="shared" si="7"/>
        <v>1.5073204926577148E-2</v>
      </c>
      <c r="H25" s="325">
        <f>$B25</f>
        <v>1.5073204926577148E-2</v>
      </c>
      <c r="I25" s="171">
        <f t="shared" ref="I25:M28" si="8">$H25</f>
        <v>1.5073204926577148E-2</v>
      </c>
      <c r="J25" s="171">
        <f t="shared" si="8"/>
        <v>1.5073204926577148E-2</v>
      </c>
      <c r="K25" s="171">
        <f t="shared" si="8"/>
        <v>1.5073204926577148E-2</v>
      </c>
      <c r="L25" s="171">
        <f t="shared" si="8"/>
        <v>1.5073204926577148E-2</v>
      </c>
      <c r="M25" s="172">
        <f t="shared" si="8"/>
        <v>1.5073204926577148E-2</v>
      </c>
      <c r="N25" s="325">
        <f>$B25</f>
        <v>1.5073204926577148E-2</v>
      </c>
      <c r="O25" s="171">
        <f t="shared" ref="O25:S28" si="9">$N25</f>
        <v>1.5073204926577148E-2</v>
      </c>
      <c r="P25" s="171">
        <f t="shared" si="9"/>
        <v>1.5073204926577148E-2</v>
      </c>
      <c r="Q25" s="171">
        <f t="shared" si="9"/>
        <v>1.5073204926577148E-2</v>
      </c>
      <c r="R25" s="171">
        <f t="shared" si="9"/>
        <v>1.5073204926577148E-2</v>
      </c>
      <c r="S25" s="172">
        <f t="shared" si="9"/>
        <v>1.5073204926577148E-2</v>
      </c>
    </row>
    <row r="26" spans="1:19" x14ac:dyDescent="0.15">
      <c r="A26" s="103" t="s">
        <v>22</v>
      </c>
      <c r="B26" s="98">
        <v>0.64584869407931778</v>
      </c>
      <c r="C26" s="96">
        <f t="shared" si="7"/>
        <v>0.64584869407931778</v>
      </c>
      <c r="D26" s="96">
        <f t="shared" si="7"/>
        <v>0.64584869407931778</v>
      </c>
      <c r="E26" s="96">
        <f t="shared" si="7"/>
        <v>0.64584869407931778</v>
      </c>
      <c r="F26" s="96">
        <f t="shared" si="7"/>
        <v>0.64584869407931778</v>
      </c>
      <c r="G26" s="96">
        <f t="shared" si="7"/>
        <v>0.64584869407931778</v>
      </c>
      <c r="H26" s="325">
        <f>$B26</f>
        <v>0.64584869407931778</v>
      </c>
      <c r="I26" s="171">
        <f t="shared" si="8"/>
        <v>0.64584869407931778</v>
      </c>
      <c r="J26" s="171">
        <f t="shared" si="8"/>
        <v>0.64584869407931778</v>
      </c>
      <c r="K26" s="171">
        <f t="shared" si="8"/>
        <v>0.64584869407931778</v>
      </c>
      <c r="L26" s="171">
        <f t="shared" si="8"/>
        <v>0.64584869407931778</v>
      </c>
      <c r="M26" s="172">
        <f t="shared" si="8"/>
        <v>0.64584869407931778</v>
      </c>
      <c r="N26" s="325">
        <f>$B26</f>
        <v>0.64584869407931778</v>
      </c>
      <c r="O26" s="171">
        <f t="shared" si="9"/>
        <v>0.64584869407931778</v>
      </c>
      <c r="P26" s="171">
        <f t="shared" si="9"/>
        <v>0.64584869407931778</v>
      </c>
      <c r="Q26" s="171">
        <f t="shared" si="9"/>
        <v>0.64584869407931778</v>
      </c>
      <c r="R26" s="171">
        <f t="shared" si="9"/>
        <v>0.64584869407931778</v>
      </c>
      <c r="S26" s="172">
        <f t="shared" si="9"/>
        <v>0.64584869407931778</v>
      </c>
    </row>
    <row r="27" spans="1:19" x14ac:dyDescent="0.15">
      <c r="A27" s="103" t="s">
        <v>23</v>
      </c>
      <c r="B27" s="98">
        <v>9.8635057732190917E-2</v>
      </c>
      <c r="C27" s="96">
        <f t="shared" si="7"/>
        <v>9.8635057732190917E-2</v>
      </c>
      <c r="D27" s="96">
        <f t="shared" si="7"/>
        <v>9.8635057732190917E-2</v>
      </c>
      <c r="E27" s="96">
        <f t="shared" si="7"/>
        <v>9.8635057732190917E-2</v>
      </c>
      <c r="F27" s="96">
        <f t="shared" si="7"/>
        <v>9.8635057732190917E-2</v>
      </c>
      <c r="G27" s="96">
        <f t="shared" si="7"/>
        <v>9.8635057732190917E-2</v>
      </c>
      <c r="H27" s="325">
        <f>$B27</f>
        <v>9.8635057732190917E-2</v>
      </c>
      <c r="I27" s="171">
        <f t="shared" si="8"/>
        <v>9.8635057732190917E-2</v>
      </c>
      <c r="J27" s="171">
        <f t="shared" si="8"/>
        <v>9.8635057732190917E-2</v>
      </c>
      <c r="K27" s="171">
        <f t="shared" si="8"/>
        <v>9.8635057732190917E-2</v>
      </c>
      <c r="L27" s="171">
        <f t="shared" si="8"/>
        <v>9.8635057732190917E-2</v>
      </c>
      <c r="M27" s="172">
        <f t="shared" si="8"/>
        <v>9.8635057732190917E-2</v>
      </c>
      <c r="N27" s="325">
        <f>$B27</f>
        <v>9.8635057732190917E-2</v>
      </c>
      <c r="O27" s="171">
        <f t="shared" si="9"/>
        <v>9.8635057732190917E-2</v>
      </c>
      <c r="P27" s="171">
        <f t="shared" si="9"/>
        <v>9.8635057732190917E-2</v>
      </c>
      <c r="Q27" s="171">
        <f t="shared" si="9"/>
        <v>9.8635057732190917E-2</v>
      </c>
      <c r="R27" s="171">
        <f t="shared" si="9"/>
        <v>9.8635057732190917E-2</v>
      </c>
      <c r="S27" s="172">
        <f t="shared" si="9"/>
        <v>9.8635057732190917E-2</v>
      </c>
    </row>
    <row r="28" spans="1:19" x14ac:dyDescent="0.15">
      <c r="A28" s="103" t="s">
        <v>24</v>
      </c>
      <c r="B28" s="98">
        <v>0.24044304326191418</v>
      </c>
      <c r="C28" s="96">
        <f t="shared" si="7"/>
        <v>0.24044304326191418</v>
      </c>
      <c r="D28" s="96">
        <f t="shared" si="7"/>
        <v>0.24044304326191418</v>
      </c>
      <c r="E28" s="96">
        <f t="shared" si="7"/>
        <v>0.24044304326191418</v>
      </c>
      <c r="F28" s="96">
        <f t="shared" si="7"/>
        <v>0.24044304326191418</v>
      </c>
      <c r="G28" s="96">
        <f t="shared" si="7"/>
        <v>0.24044304326191418</v>
      </c>
      <c r="H28" s="325">
        <f>$B28</f>
        <v>0.24044304326191418</v>
      </c>
      <c r="I28" s="171">
        <f t="shared" si="8"/>
        <v>0.24044304326191418</v>
      </c>
      <c r="J28" s="171">
        <f t="shared" si="8"/>
        <v>0.24044304326191418</v>
      </c>
      <c r="K28" s="171">
        <f t="shared" si="8"/>
        <v>0.24044304326191418</v>
      </c>
      <c r="L28" s="171">
        <f t="shared" si="8"/>
        <v>0.24044304326191418</v>
      </c>
      <c r="M28" s="172">
        <f t="shared" si="8"/>
        <v>0.24044304326191418</v>
      </c>
      <c r="N28" s="325">
        <f>$B28</f>
        <v>0.24044304326191418</v>
      </c>
      <c r="O28" s="171">
        <f t="shared" si="9"/>
        <v>0.24044304326191418</v>
      </c>
      <c r="P28" s="171">
        <f t="shared" si="9"/>
        <v>0.24044304326191418</v>
      </c>
      <c r="Q28" s="171">
        <f t="shared" si="9"/>
        <v>0.24044304326191418</v>
      </c>
      <c r="R28" s="171">
        <f t="shared" si="9"/>
        <v>0.24044304326191418</v>
      </c>
      <c r="S28" s="172">
        <f t="shared" si="9"/>
        <v>0.24044304326191418</v>
      </c>
    </row>
    <row r="29" spans="1:19" x14ac:dyDescent="0.15">
      <c r="A29" s="110" t="s">
        <v>25</v>
      </c>
      <c r="B29" s="326">
        <f t="shared" ref="B29:S29" si="10">NotesPayable/(NotesPayable+LongTermDebt+PreferredStock+CommonEquity)</f>
        <v>1.5073204926577148E-2</v>
      </c>
      <c r="C29" s="326">
        <f t="shared" si="10"/>
        <v>6.7473401566948754E-2</v>
      </c>
      <c r="D29" s="326">
        <f t="shared" si="10"/>
        <v>0.23447972865858577</v>
      </c>
      <c r="E29" s="326">
        <f t="shared" si="10"/>
        <v>0.76484250607009052</v>
      </c>
      <c r="F29" s="326">
        <f t="shared" si="10"/>
        <v>2.4467367255481953</v>
      </c>
      <c r="G29" s="326">
        <f t="shared" si="10"/>
        <v>7.7772771918955508</v>
      </c>
      <c r="H29" s="327">
        <f t="shared" si="10"/>
        <v>1.5073204926577148E-2</v>
      </c>
      <c r="I29" s="328">
        <f t="shared" si="10"/>
        <v>-9.8938205740546847E-2</v>
      </c>
      <c r="J29" s="328">
        <f t="shared" si="10"/>
        <v>-1.1766220768513804E-2</v>
      </c>
      <c r="K29" s="328">
        <f t="shared" si="10"/>
        <v>-6.3058105572035769E-3</v>
      </c>
      <c r="L29" s="328">
        <f t="shared" si="10"/>
        <v>-4.3258769335013224E-3</v>
      </c>
      <c r="M29" s="329">
        <f t="shared" si="10"/>
        <v>-3.3002239332725735E-3</v>
      </c>
      <c r="N29" s="327">
        <f t="shared" si="10"/>
        <v>1.5073204926577148E-2</v>
      </c>
      <c r="O29" s="328">
        <f t="shared" si="10"/>
        <v>-9.8938205740546847E-2</v>
      </c>
      <c r="P29" s="328">
        <f t="shared" si="10"/>
        <v>-1.1766220768513804E-2</v>
      </c>
      <c r="Q29" s="328">
        <f t="shared" si="10"/>
        <v>-6.3058105572035769E-3</v>
      </c>
      <c r="R29" s="328">
        <f t="shared" si="10"/>
        <v>-4.3258769335013224E-3</v>
      </c>
      <c r="S29" s="329">
        <f t="shared" si="10"/>
        <v>-3.3002239332725735E-3</v>
      </c>
    </row>
    <row r="30" spans="1:19" x14ac:dyDescent="0.15">
      <c r="A30" s="110" t="s">
        <v>26</v>
      </c>
      <c r="B30" s="326">
        <f t="shared" ref="B30:S30" si="11">LongTermDebt/(NotesPayable+LongTermDebt+PreferredStock+CommonEquity)</f>
        <v>0.64584869407931778</v>
      </c>
      <c r="C30" s="326">
        <f t="shared" si="11"/>
        <v>2.8910645413084639</v>
      </c>
      <c r="D30" s="326">
        <f t="shared" si="11"/>
        <v>10.046863111056323</v>
      </c>
      <c r="E30" s="326">
        <f t="shared" si="11"/>
        <v>32.771566241413318</v>
      </c>
      <c r="F30" s="326">
        <f t="shared" si="11"/>
        <v>104.83647815103697</v>
      </c>
      <c r="G30" s="326">
        <f t="shared" si="11"/>
        <v>333.23665022440753</v>
      </c>
      <c r="H30" s="327">
        <f t="shared" si="11"/>
        <v>0.64584869407931778</v>
      </c>
      <c r="I30" s="328">
        <f t="shared" si="11"/>
        <v>-4.2392517904016431</v>
      </c>
      <c r="J30" s="328">
        <f t="shared" si="11"/>
        <v>-0.50415278997465518</v>
      </c>
      <c r="K30" s="328">
        <f t="shared" si="11"/>
        <v>-0.27018802791572732</v>
      </c>
      <c r="L30" s="328">
        <f t="shared" si="11"/>
        <v>-0.18535288161069993</v>
      </c>
      <c r="M30" s="329">
        <f t="shared" si="11"/>
        <v>-0.14140624557656126</v>
      </c>
      <c r="N30" s="327">
        <f t="shared" si="11"/>
        <v>0.64584869407931778</v>
      </c>
      <c r="O30" s="328">
        <f t="shared" si="11"/>
        <v>-4.2392517904016431</v>
      </c>
      <c r="P30" s="328">
        <f t="shared" si="11"/>
        <v>-0.50415278997465518</v>
      </c>
      <c r="Q30" s="328">
        <f t="shared" si="11"/>
        <v>-0.27018802791572732</v>
      </c>
      <c r="R30" s="328">
        <f t="shared" si="11"/>
        <v>-0.18535288161069993</v>
      </c>
      <c r="S30" s="329">
        <f t="shared" si="11"/>
        <v>-0.14140624557656126</v>
      </c>
    </row>
    <row r="31" spans="1:19" x14ac:dyDescent="0.15">
      <c r="A31" s="110" t="s">
        <v>27</v>
      </c>
      <c r="B31" s="326">
        <f t="shared" ref="B31:S31" si="12">PreferredStock/(NotesPayable+LongTermDebt+PreferredStock+CommonEquity)</f>
        <v>9.8635057732190917E-2</v>
      </c>
      <c r="C31" s="326">
        <f t="shared" si="12"/>
        <v>0.44152805533803458</v>
      </c>
      <c r="D31" s="326">
        <f t="shared" si="12"/>
        <v>1.5343731930884057</v>
      </c>
      <c r="E31" s="326">
        <f t="shared" si="12"/>
        <v>5.0049266303837134</v>
      </c>
      <c r="F31" s="326">
        <f t="shared" si="12"/>
        <v>16.010796599361342</v>
      </c>
      <c r="G31" s="326">
        <f t="shared" si="12"/>
        <v>50.892440496797967</v>
      </c>
      <c r="H31" s="327">
        <f t="shared" si="12"/>
        <v>9.8635057732190917E-2</v>
      </c>
      <c r="I31" s="328">
        <f t="shared" si="12"/>
        <v>-0.64742539378148445</v>
      </c>
      <c r="J31" s="328">
        <f t="shared" si="12"/>
        <v>-7.6995029951842195E-2</v>
      </c>
      <c r="K31" s="328">
        <f t="shared" si="12"/>
        <v>-4.1263552866674442E-2</v>
      </c>
      <c r="L31" s="328">
        <f t="shared" si="12"/>
        <v>-2.8307392034850283E-2</v>
      </c>
      <c r="M31" s="329">
        <f t="shared" si="12"/>
        <v>-2.1595790661184736E-2</v>
      </c>
      <c r="N31" s="327">
        <f t="shared" si="12"/>
        <v>9.8635057732190917E-2</v>
      </c>
      <c r="O31" s="328">
        <f t="shared" si="12"/>
        <v>-0.64742539378148445</v>
      </c>
      <c r="P31" s="328">
        <f t="shared" si="12"/>
        <v>-7.6995029951842195E-2</v>
      </c>
      <c r="Q31" s="328">
        <f t="shared" si="12"/>
        <v>-4.1263552866674442E-2</v>
      </c>
      <c r="R31" s="328">
        <f t="shared" si="12"/>
        <v>-2.8307392034850283E-2</v>
      </c>
      <c r="S31" s="329">
        <f t="shared" si="12"/>
        <v>-2.1595790661184736E-2</v>
      </c>
    </row>
    <row r="32" spans="1:19" ht="14" thickBot="1" x14ac:dyDescent="0.2">
      <c r="A32" s="111" t="s">
        <v>157</v>
      </c>
      <c r="B32" s="326">
        <f t="shared" ref="B32:S32" si="13">CommonEquity/(NotesPayable+LongTermDebt+PreferredStock+CommonEquity)</f>
        <v>0.24044304326191418</v>
      </c>
      <c r="C32" s="326">
        <f t="shared" si="13"/>
        <v>-2.4000659982134467</v>
      </c>
      <c r="D32" s="326">
        <f t="shared" si="13"/>
        <v>-10.815716032803312</v>
      </c>
      <c r="E32" s="326">
        <f t="shared" si="13"/>
        <v>-37.541335377867121</v>
      </c>
      <c r="F32" s="326">
        <f t="shared" si="13"/>
        <v>-122.29401147594649</v>
      </c>
      <c r="G32" s="326">
        <f t="shared" si="13"/>
        <v>-390.90636791310106</v>
      </c>
      <c r="H32" s="327">
        <f t="shared" si="13"/>
        <v>0.24044304326191418</v>
      </c>
      <c r="I32" s="328">
        <f t="shared" si="13"/>
        <v>5.9856153899236739</v>
      </c>
      <c r="J32" s="328">
        <f t="shared" si="13"/>
        <v>1.5929140406950111</v>
      </c>
      <c r="K32" s="328">
        <f t="shared" si="13"/>
        <v>1.3177573913396055</v>
      </c>
      <c r="L32" s="328">
        <f t="shared" si="13"/>
        <v>1.2179861505790515</v>
      </c>
      <c r="M32" s="329">
        <f t="shared" si="13"/>
        <v>1.1663022601710187</v>
      </c>
      <c r="N32" s="327">
        <f t="shared" si="13"/>
        <v>0.24044304326191418</v>
      </c>
      <c r="O32" s="328">
        <f t="shared" si="13"/>
        <v>5.9856153899236739</v>
      </c>
      <c r="P32" s="328">
        <f t="shared" si="13"/>
        <v>1.5929140406950111</v>
      </c>
      <c r="Q32" s="328">
        <f t="shared" si="13"/>
        <v>1.3177573913396055</v>
      </c>
      <c r="R32" s="328">
        <f t="shared" si="13"/>
        <v>1.2179861505790515</v>
      </c>
      <c r="S32" s="329">
        <f t="shared" si="13"/>
        <v>1.1663022601710187</v>
      </c>
    </row>
    <row r="33" spans="1:41" ht="14" thickTop="1" x14ac:dyDescent="0.15">
      <c r="A33" s="107" t="s">
        <v>28</v>
      </c>
      <c r="B33" s="251"/>
      <c r="C33" s="251"/>
      <c r="D33" s="251"/>
      <c r="E33" s="251"/>
      <c r="F33" s="251"/>
      <c r="G33" s="251"/>
      <c r="H33" s="252"/>
      <c r="I33" s="253"/>
      <c r="J33" s="253"/>
      <c r="K33" s="253"/>
      <c r="L33" s="253"/>
      <c r="M33" s="254"/>
      <c r="N33" s="252"/>
      <c r="O33" s="253"/>
      <c r="P33" s="253"/>
      <c r="Q33" s="253"/>
      <c r="R33" s="253"/>
      <c r="S33" s="254"/>
    </row>
    <row r="34" spans="1:41" x14ac:dyDescent="0.15">
      <c r="A34" s="103" t="s">
        <v>29</v>
      </c>
      <c r="B34" s="255"/>
      <c r="C34" s="255"/>
      <c r="D34" s="255"/>
      <c r="E34" s="255"/>
      <c r="F34" s="255"/>
      <c r="G34" s="248"/>
      <c r="H34" s="249"/>
      <c r="I34" s="256"/>
      <c r="J34" s="256"/>
      <c r="K34" s="256"/>
      <c r="L34" s="256"/>
      <c r="M34" s="257"/>
      <c r="N34" s="249"/>
      <c r="O34" s="256"/>
      <c r="P34" s="256"/>
      <c r="Q34" s="256"/>
      <c r="R34" s="256"/>
      <c r="S34" s="257"/>
    </row>
    <row r="35" spans="1:41" x14ac:dyDescent="0.15">
      <c r="A35" s="103" t="s">
        <v>30</v>
      </c>
      <c r="B35" s="98"/>
      <c r="C35" s="96">
        <f t="shared" ref="C35:H40" si="14">$B35</f>
        <v>0</v>
      </c>
      <c r="D35" s="96">
        <f t="shared" si="14"/>
        <v>0</v>
      </c>
      <c r="E35" s="96">
        <f t="shared" si="14"/>
        <v>0</v>
      </c>
      <c r="F35" s="96">
        <f t="shared" si="14"/>
        <v>0</v>
      </c>
      <c r="G35" s="96">
        <f t="shared" si="14"/>
        <v>0</v>
      </c>
      <c r="H35" s="325">
        <f t="shared" si="14"/>
        <v>0</v>
      </c>
      <c r="I35" s="171">
        <f t="shared" ref="I35:M40" si="15">$H35</f>
        <v>0</v>
      </c>
      <c r="J35" s="171">
        <f t="shared" si="15"/>
        <v>0</v>
      </c>
      <c r="K35" s="171">
        <f t="shared" si="15"/>
        <v>0</v>
      </c>
      <c r="L35" s="171">
        <f t="shared" si="15"/>
        <v>0</v>
      </c>
      <c r="M35" s="172">
        <f t="shared" si="15"/>
        <v>0</v>
      </c>
      <c r="N35" s="325">
        <f t="shared" ref="N35:N41" si="16">$B35</f>
        <v>0</v>
      </c>
      <c r="O35" s="171">
        <f t="shared" ref="O35:S40" si="17">$N35</f>
        <v>0</v>
      </c>
      <c r="P35" s="171">
        <f t="shared" si="17"/>
        <v>0</v>
      </c>
      <c r="Q35" s="171">
        <f t="shared" si="17"/>
        <v>0</v>
      </c>
      <c r="R35" s="171">
        <f t="shared" si="17"/>
        <v>0</v>
      </c>
      <c r="S35" s="172">
        <f t="shared" si="17"/>
        <v>0</v>
      </c>
    </row>
    <row r="36" spans="1:41" x14ac:dyDescent="0.15">
      <c r="A36" s="103" t="s">
        <v>179</v>
      </c>
      <c r="B36" s="98"/>
      <c r="C36" s="96">
        <f t="shared" si="14"/>
        <v>0</v>
      </c>
      <c r="D36" s="96">
        <f t="shared" si="14"/>
        <v>0</v>
      </c>
      <c r="E36" s="96">
        <f t="shared" si="14"/>
        <v>0</v>
      </c>
      <c r="F36" s="96">
        <f t="shared" si="14"/>
        <v>0</v>
      </c>
      <c r="G36" s="96">
        <f t="shared" si="14"/>
        <v>0</v>
      </c>
      <c r="H36" s="325">
        <f t="shared" si="14"/>
        <v>0</v>
      </c>
      <c r="I36" s="171">
        <f t="shared" si="15"/>
        <v>0</v>
      </c>
      <c r="J36" s="171">
        <f t="shared" si="15"/>
        <v>0</v>
      </c>
      <c r="K36" s="171">
        <f t="shared" si="15"/>
        <v>0</v>
      </c>
      <c r="L36" s="171">
        <f t="shared" si="15"/>
        <v>0</v>
      </c>
      <c r="M36" s="172">
        <f t="shared" si="15"/>
        <v>0</v>
      </c>
      <c r="N36" s="325">
        <f t="shared" si="16"/>
        <v>0</v>
      </c>
      <c r="O36" s="171">
        <f t="shared" si="17"/>
        <v>0</v>
      </c>
      <c r="P36" s="171">
        <f t="shared" si="17"/>
        <v>0</v>
      </c>
      <c r="Q36" s="171">
        <f t="shared" si="17"/>
        <v>0</v>
      </c>
      <c r="R36" s="171">
        <f t="shared" si="17"/>
        <v>0</v>
      </c>
      <c r="S36" s="172">
        <f t="shared" si="17"/>
        <v>0</v>
      </c>
    </row>
    <row r="37" spans="1:41" x14ac:dyDescent="0.15">
      <c r="A37" s="103" t="s">
        <v>31</v>
      </c>
      <c r="B37" s="98"/>
      <c r="C37" s="96">
        <f t="shared" si="14"/>
        <v>0</v>
      </c>
      <c r="D37" s="96">
        <f t="shared" si="14"/>
        <v>0</v>
      </c>
      <c r="E37" s="96">
        <f t="shared" si="14"/>
        <v>0</v>
      </c>
      <c r="F37" s="96">
        <f t="shared" si="14"/>
        <v>0</v>
      </c>
      <c r="G37" s="96">
        <f t="shared" si="14"/>
        <v>0</v>
      </c>
      <c r="H37" s="325">
        <f t="shared" si="14"/>
        <v>0</v>
      </c>
      <c r="I37" s="171">
        <f t="shared" si="15"/>
        <v>0</v>
      </c>
      <c r="J37" s="171">
        <f t="shared" si="15"/>
        <v>0</v>
      </c>
      <c r="K37" s="171">
        <f t="shared" si="15"/>
        <v>0</v>
      </c>
      <c r="L37" s="171">
        <f t="shared" si="15"/>
        <v>0</v>
      </c>
      <c r="M37" s="172">
        <f t="shared" si="15"/>
        <v>0</v>
      </c>
      <c r="N37" s="325">
        <f t="shared" si="16"/>
        <v>0</v>
      </c>
      <c r="O37" s="171">
        <f t="shared" si="17"/>
        <v>0</v>
      </c>
      <c r="P37" s="171">
        <f t="shared" si="17"/>
        <v>0</v>
      </c>
      <c r="Q37" s="171">
        <f t="shared" si="17"/>
        <v>0</v>
      </c>
      <c r="R37" s="171">
        <f t="shared" si="17"/>
        <v>0</v>
      </c>
      <c r="S37" s="172">
        <f t="shared" si="17"/>
        <v>0</v>
      </c>
    </row>
    <row r="38" spans="1:41" x14ac:dyDescent="0.15">
      <c r="A38" s="103" t="s">
        <v>32</v>
      </c>
      <c r="B38" s="98"/>
      <c r="C38" s="96">
        <f t="shared" si="14"/>
        <v>0</v>
      </c>
      <c r="D38" s="96">
        <f t="shared" si="14"/>
        <v>0</v>
      </c>
      <c r="E38" s="96">
        <f t="shared" si="14"/>
        <v>0</v>
      </c>
      <c r="F38" s="96">
        <f t="shared" si="14"/>
        <v>0</v>
      </c>
      <c r="G38" s="96">
        <f t="shared" si="14"/>
        <v>0</v>
      </c>
      <c r="H38" s="325">
        <f t="shared" si="14"/>
        <v>0</v>
      </c>
      <c r="I38" s="171">
        <f t="shared" si="15"/>
        <v>0</v>
      </c>
      <c r="J38" s="171">
        <f t="shared" si="15"/>
        <v>0</v>
      </c>
      <c r="K38" s="171">
        <f t="shared" si="15"/>
        <v>0</v>
      </c>
      <c r="L38" s="171">
        <f t="shared" si="15"/>
        <v>0</v>
      </c>
      <c r="M38" s="172">
        <f t="shared" si="15"/>
        <v>0</v>
      </c>
      <c r="N38" s="325">
        <f t="shared" si="16"/>
        <v>0</v>
      </c>
      <c r="O38" s="171">
        <f t="shared" si="17"/>
        <v>0</v>
      </c>
      <c r="P38" s="171">
        <f t="shared" si="17"/>
        <v>0</v>
      </c>
      <c r="Q38" s="171">
        <f t="shared" si="17"/>
        <v>0</v>
      </c>
      <c r="R38" s="171">
        <f t="shared" si="17"/>
        <v>0</v>
      </c>
      <c r="S38" s="172">
        <f t="shared" si="17"/>
        <v>0</v>
      </c>
    </row>
    <row r="39" spans="1:41" x14ac:dyDescent="0.15">
      <c r="A39" s="103" t="s">
        <v>33</v>
      </c>
      <c r="B39" s="98"/>
      <c r="C39" s="96">
        <f t="shared" si="14"/>
        <v>0</v>
      </c>
      <c r="D39" s="96">
        <f t="shared" si="14"/>
        <v>0</v>
      </c>
      <c r="E39" s="96">
        <f t="shared" si="14"/>
        <v>0</v>
      </c>
      <c r="F39" s="96">
        <f t="shared" si="14"/>
        <v>0</v>
      </c>
      <c r="G39" s="96">
        <f t="shared" si="14"/>
        <v>0</v>
      </c>
      <c r="H39" s="325">
        <f t="shared" si="14"/>
        <v>0</v>
      </c>
      <c r="I39" s="171">
        <f t="shared" si="15"/>
        <v>0</v>
      </c>
      <c r="J39" s="171">
        <f t="shared" si="15"/>
        <v>0</v>
      </c>
      <c r="K39" s="171">
        <f t="shared" si="15"/>
        <v>0</v>
      </c>
      <c r="L39" s="171">
        <f t="shared" si="15"/>
        <v>0</v>
      </c>
      <c r="M39" s="172">
        <f t="shared" si="15"/>
        <v>0</v>
      </c>
      <c r="N39" s="325">
        <f t="shared" si="16"/>
        <v>0</v>
      </c>
      <c r="O39" s="171">
        <f t="shared" si="17"/>
        <v>0</v>
      </c>
      <c r="P39" s="171">
        <f t="shared" si="17"/>
        <v>0</v>
      </c>
      <c r="Q39" s="171">
        <f t="shared" si="17"/>
        <v>0</v>
      </c>
      <c r="R39" s="171">
        <f t="shared" si="17"/>
        <v>0</v>
      </c>
      <c r="S39" s="172">
        <f t="shared" si="17"/>
        <v>0</v>
      </c>
    </row>
    <row r="40" spans="1:41" ht="14" thickBot="1" x14ac:dyDescent="0.2">
      <c r="A40" s="106" t="s">
        <v>34</v>
      </c>
      <c r="B40" s="98"/>
      <c r="C40" s="96">
        <f t="shared" si="14"/>
        <v>0</v>
      </c>
      <c r="D40" s="96">
        <f t="shared" si="14"/>
        <v>0</v>
      </c>
      <c r="E40" s="96">
        <f t="shared" si="14"/>
        <v>0</v>
      </c>
      <c r="F40" s="96">
        <f t="shared" si="14"/>
        <v>0</v>
      </c>
      <c r="G40" s="96">
        <f t="shared" si="14"/>
        <v>0</v>
      </c>
      <c r="H40" s="325">
        <f t="shared" si="14"/>
        <v>0</v>
      </c>
      <c r="I40" s="171">
        <f t="shared" si="15"/>
        <v>0</v>
      </c>
      <c r="J40" s="171">
        <f t="shared" si="15"/>
        <v>0</v>
      </c>
      <c r="K40" s="171">
        <f t="shared" si="15"/>
        <v>0</v>
      </c>
      <c r="L40" s="171">
        <f t="shared" si="15"/>
        <v>0</v>
      </c>
      <c r="M40" s="172">
        <f t="shared" si="15"/>
        <v>0</v>
      </c>
      <c r="N40" s="325">
        <f t="shared" si="16"/>
        <v>0</v>
      </c>
      <c r="O40" s="171">
        <f t="shared" si="17"/>
        <v>0</v>
      </c>
      <c r="P40" s="171">
        <f t="shared" si="17"/>
        <v>0</v>
      </c>
      <c r="Q40" s="171">
        <f t="shared" si="17"/>
        <v>0</v>
      </c>
      <c r="R40" s="171">
        <f t="shared" si="17"/>
        <v>0</v>
      </c>
      <c r="S40" s="172">
        <f t="shared" si="17"/>
        <v>0</v>
      </c>
    </row>
    <row r="41" spans="1:41" ht="14" thickTop="1" x14ac:dyDescent="0.15">
      <c r="A41" s="105" t="s">
        <v>35</v>
      </c>
      <c r="B41" s="145"/>
      <c r="C41" s="108"/>
      <c r="D41" s="108"/>
      <c r="E41" s="108"/>
      <c r="F41" s="108"/>
      <c r="G41" s="108"/>
      <c r="H41" s="259">
        <f>$B41</f>
        <v>0</v>
      </c>
      <c r="I41" s="174"/>
      <c r="J41" s="174"/>
      <c r="K41" s="174"/>
      <c r="L41" s="174"/>
      <c r="M41" s="175"/>
      <c r="N41" s="259">
        <f t="shared" si="16"/>
        <v>0</v>
      </c>
      <c r="O41" s="174"/>
      <c r="P41" s="174"/>
      <c r="Q41" s="174"/>
      <c r="R41" s="174"/>
      <c r="S41" s="175"/>
    </row>
    <row r="42" spans="1:41" ht="14" thickBot="1" x14ac:dyDescent="0.2">
      <c r="A42" s="103" t="s">
        <v>36</v>
      </c>
      <c r="B42" s="146"/>
      <c r="C42" s="146"/>
      <c r="D42" s="147"/>
      <c r="E42" s="147"/>
      <c r="F42" s="147"/>
      <c r="G42" s="214">
        <f>IF(Alt.FCF.g=0,G5,Alt.FCF.g)</f>
        <v>-8.4900000000000003E-2</v>
      </c>
      <c r="H42" s="176"/>
      <c r="I42" s="177"/>
      <c r="J42" s="178"/>
      <c r="K42" s="178"/>
      <c r="L42" s="178"/>
      <c r="M42" s="179">
        <f>G42</f>
        <v>-8.4900000000000003E-2</v>
      </c>
      <c r="N42" s="176"/>
      <c r="O42" s="177"/>
      <c r="P42" s="178"/>
      <c r="Q42" s="178"/>
      <c r="R42" s="178"/>
      <c r="S42" s="179">
        <f>G42</f>
        <v>-8.4900000000000003E-2</v>
      </c>
    </row>
    <row r="43" spans="1:41" ht="13.25" customHeight="1" thickBot="1" x14ac:dyDescent="0.2">
      <c r="A43" s="106" t="s">
        <v>37</v>
      </c>
      <c r="B43" s="247" t="e">
        <f>IF(Alt.WACC=0,(1/Price.to.FCF.Ratio)+ConstantGrowthRate.of.FCF Year5.A,Alt.WACC)</f>
        <v>#DIV/0!</v>
      </c>
      <c r="C43" s="148"/>
      <c r="D43" s="149"/>
      <c r="E43" s="149"/>
      <c r="F43" s="149"/>
      <c r="G43" s="149"/>
      <c r="H43" s="180" t="e">
        <f>WACC.A</f>
        <v>#DIV/0!</v>
      </c>
      <c r="I43" s="181"/>
      <c r="J43" s="182"/>
      <c r="K43" s="182"/>
      <c r="L43" s="182"/>
      <c r="M43" s="183"/>
      <c r="N43" s="180" t="e">
        <f>WACC.A</f>
        <v>#DIV/0!</v>
      </c>
      <c r="O43" s="181"/>
      <c r="P43" s="182"/>
      <c r="Q43" s="182"/>
      <c r="R43" s="182"/>
      <c r="S43" s="183"/>
      <c r="T43" s="412" t="s">
        <v>38</v>
      </c>
      <c r="U43" s="412"/>
      <c r="V43" s="412"/>
      <c r="W43" s="412"/>
      <c r="X43" s="412"/>
      <c r="Y43" s="412"/>
      <c r="Z43" s="412"/>
      <c r="AA43" s="412"/>
      <c r="AB43" s="412"/>
      <c r="AC43" s="412"/>
      <c r="AD43" s="412"/>
      <c r="AE43" s="412"/>
      <c r="AF43" s="412"/>
      <c r="AG43" s="412"/>
      <c r="AH43" s="412"/>
      <c r="AI43" s="412"/>
      <c r="AJ43" s="412"/>
      <c r="AK43" s="413"/>
    </row>
    <row r="44" spans="1:41" ht="13.5" customHeight="1" thickTop="1" thickBot="1" x14ac:dyDescent="0.2">
      <c r="A44" s="112" t="s">
        <v>160</v>
      </c>
      <c r="B44" s="99">
        <v>14.92</v>
      </c>
      <c r="C44" s="330"/>
      <c r="D44" s="331"/>
      <c r="E44" s="277"/>
      <c r="F44" s="277"/>
      <c r="G44" s="277"/>
      <c r="H44" s="332">
        <f>$B44</f>
        <v>14.92</v>
      </c>
      <c r="I44" s="333"/>
      <c r="J44" s="334"/>
      <c r="K44" s="279"/>
      <c r="L44" s="279"/>
      <c r="M44" s="280"/>
      <c r="N44" s="332">
        <f>$B44</f>
        <v>14.92</v>
      </c>
      <c r="O44" s="333"/>
      <c r="P44" s="334"/>
      <c r="Q44" s="279"/>
      <c r="R44" s="279"/>
      <c r="S44" s="280"/>
      <c r="T44" s="414"/>
      <c r="U44" s="414"/>
      <c r="V44" s="414"/>
      <c r="W44" s="414"/>
      <c r="X44" s="414"/>
      <c r="Y44" s="414"/>
      <c r="Z44" s="414"/>
      <c r="AA44" s="414"/>
      <c r="AB44" s="414"/>
      <c r="AC44" s="414"/>
      <c r="AD44" s="414"/>
      <c r="AE44" s="414"/>
      <c r="AF44" s="414"/>
      <c r="AG44" s="414"/>
      <c r="AH44" s="414"/>
      <c r="AI44" s="414"/>
      <c r="AJ44" s="414"/>
      <c r="AK44" s="415"/>
    </row>
    <row r="45" spans="1:41" ht="13.5" customHeight="1" x14ac:dyDescent="0.15">
      <c r="A45" s="112" t="s">
        <v>39</v>
      </c>
      <c r="B45" s="150">
        <v>29804</v>
      </c>
      <c r="C45" s="335">
        <f>PreviousYearFigure+AdditionalShares</f>
        <v>57297.435529053531</v>
      </c>
      <c r="D45" s="335">
        <f>PreviousYearFigure+AdditionalShares</f>
        <v>136640.34732478444</v>
      </c>
      <c r="E45" s="335">
        <f>PreviousYearFigure+AdditionalShares</f>
        <v>366508.18781000964</v>
      </c>
      <c r="F45" s="335">
        <f>PreviousYearFigure+AdditionalShares</f>
        <v>1033187.7447117881</v>
      </c>
      <c r="G45" s="335">
        <f>PreviousYearFigure+AdditionalShares</f>
        <v>2967285.0941717578</v>
      </c>
      <c r="H45" s="336">
        <f>$B45</f>
        <v>29804</v>
      </c>
      <c r="I45" s="337">
        <f>PreviousYearFigure+AdditionalShares</f>
        <v>29804</v>
      </c>
      <c r="J45" s="337">
        <f>PreviousYearFigure+AdditionalShares</f>
        <v>29804</v>
      </c>
      <c r="K45" s="337">
        <f>PreviousYearFigure+AdditionalShares</f>
        <v>29804</v>
      </c>
      <c r="L45" s="337">
        <f>PreviousYearFigure+AdditionalShares</f>
        <v>29804</v>
      </c>
      <c r="M45" s="338">
        <f>PreviousYearFigure+AdditionalShares</f>
        <v>29804</v>
      </c>
      <c r="N45" s="336">
        <f>$B45</f>
        <v>29804</v>
      </c>
      <c r="O45" s="337">
        <f>PreviousYearFigure+AdditionalShares</f>
        <v>29804</v>
      </c>
      <c r="P45" s="337">
        <f>PreviousYearFigure+AdditionalShares</f>
        <v>29804</v>
      </c>
      <c r="Q45" s="337">
        <f>PreviousYearFigure+AdditionalShares</f>
        <v>29804</v>
      </c>
      <c r="R45" s="337">
        <f>PreviousYearFigure+AdditionalShares</f>
        <v>29804</v>
      </c>
      <c r="S45" s="338">
        <f>PreviousYearFigure+AdditionalShares</f>
        <v>29804</v>
      </c>
      <c r="T45" s="209"/>
      <c r="U45" s="116"/>
      <c r="V45" s="116"/>
      <c r="W45" s="116"/>
      <c r="X45" s="116"/>
      <c r="Y45" s="116"/>
      <c r="Z45" s="168"/>
      <c r="AA45" s="169"/>
      <c r="AB45" s="169"/>
      <c r="AC45" s="169"/>
      <c r="AD45" s="169"/>
      <c r="AE45" s="170"/>
      <c r="AF45" s="116"/>
      <c r="AG45" s="116"/>
      <c r="AH45" s="116"/>
      <c r="AI45" s="116"/>
      <c r="AJ45" s="116"/>
      <c r="AK45" s="117"/>
    </row>
    <row r="46" spans="1:41" ht="13.5" customHeight="1" thickBot="1" x14ac:dyDescent="0.2">
      <c r="A46" s="112" t="s">
        <v>161</v>
      </c>
      <c r="B46" s="246">
        <f>B65</f>
        <v>1.5462689571869548</v>
      </c>
      <c r="C46" s="339"/>
      <c r="D46" s="339"/>
      <c r="E46" s="339"/>
      <c r="F46" s="339"/>
      <c r="G46" s="339"/>
      <c r="H46" s="340">
        <f>$B46</f>
        <v>1.5462689571869548</v>
      </c>
      <c r="I46" s="341"/>
      <c r="J46" s="341"/>
      <c r="K46" s="341"/>
      <c r="L46" s="341"/>
      <c r="M46" s="342"/>
      <c r="N46" s="340">
        <f>$B46</f>
        <v>1.5462689571869548</v>
      </c>
      <c r="O46" s="341"/>
      <c r="P46" s="341"/>
      <c r="Q46" s="341"/>
      <c r="R46" s="341"/>
      <c r="S46" s="342"/>
      <c r="T46" s="416" t="str">
        <f>BASELINE</f>
        <v>ELIZABETH ARDEN INC</v>
      </c>
      <c r="U46" s="416"/>
      <c r="V46" s="416"/>
      <c r="W46" s="416"/>
      <c r="X46" s="416"/>
      <c r="Y46" s="416"/>
      <c r="Z46" s="417" t="str">
        <f>SCENARIO.A</f>
        <v>SCENARIO A</v>
      </c>
      <c r="AA46" s="418"/>
      <c r="AB46" s="418"/>
      <c r="AC46" s="418"/>
      <c r="AD46" s="418"/>
      <c r="AE46" s="419"/>
      <c r="AF46" s="420" t="str">
        <f>SCENARIO.B</f>
        <v>SCENARIO B</v>
      </c>
      <c r="AG46" s="421"/>
      <c r="AH46" s="421"/>
      <c r="AI46" s="421"/>
      <c r="AJ46" s="421"/>
      <c r="AK46" s="422"/>
    </row>
    <row r="47" spans="1:41" ht="14" thickTop="1" x14ac:dyDescent="0.15">
      <c r="A47" s="255"/>
      <c r="B47" s="255"/>
      <c r="C47" s="255"/>
      <c r="D47" s="258"/>
      <c r="E47" s="258"/>
      <c r="F47" s="258"/>
      <c r="G47" s="258"/>
      <c r="H47" s="259"/>
      <c r="I47" s="260"/>
      <c r="J47" s="261"/>
      <c r="K47" s="261"/>
      <c r="L47" s="261"/>
      <c r="M47" s="262"/>
      <c r="N47" s="259"/>
      <c r="O47" s="260"/>
      <c r="P47" s="261"/>
      <c r="Q47" s="261"/>
      <c r="R47" s="261"/>
      <c r="S47" s="262"/>
      <c r="T47" s="187"/>
      <c r="Z47" s="118"/>
      <c r="AE47" s="119"/>
      <c r="AF47" s="290"/>
      <c r="AG47" s="290"/>
      <c r="AH47" s="290"/>
      <c r="AI47" s="290"/>
      <c r="AJ47" s="290"/>
      <c r="AK47" s="291"/>
    </row>
    <row r="48" spans="1:41" x14ac:dyDescent="0.15">
      <c r="A48" s="120" t="s">
        <v>163</v>
      </c>
      <c r="B48" s="292"/>
      <c r="C48" s="292"/>
      <c r="D48" s="292"/>
      <c r="E48" s="292"/>
      <c r="F48" s="292"/>
      <c r="G48" s="292"/>
      <c r="H48" s="293"/>
      <c r="I48" s="294"/>
      <c r="J48" s="294"/>
      <c r="K48" s="294"/>
      <c r="L48" s="294"/>
      <c r="M48" s="295"/>
      <c r="N48" s="293"/>
      <c r="O48" s="294"/>
      <c r="P48" s="294"/>
      <c r="Q48" s="294"/>
      <c r="R48" s="294"/>
      <c r="S48" s="295"/>
      <c r="T48" s="294"/>
      <c r="U48" s="292"/>
      <c r="V48" s="292"/>
      <c r="W48" s="292"/>
      <c r="X48" s="292"/>
      <c r="Y48" s="292"/>
      <c r="Z48" s="293"/>
      <c r="AA48" s="292"/>
      <c r="AB48" s="292"/>
      <c r="AC48" s="292"/>
      <c r="AD48" s="292"/>
      <c r="AE48" s="295"/>
      <c r="AF48" s="292"/>
      <c r="AG48" s="292"/>
      <c r="AH48" s="292"/>
      <c r="AI48" s="292"/>
      <c r="AJ48" s="292"/>
      <c r="AK48" s="295"/>
      <c r="AL48" s="235"/>
      <c r="AM48" s="235"/>
      <c r="AN48" s="235"/>
      <c r="AO48" s="235"/>
    </row>
    <row r="49" spans="1:37" x14ac:dyDescent="0.15">
      <c r="A49" s="112" t="s">
        <v>144</v>
      </c>
      <c r="B49" s="151">
        <v>971098</v>
      </c>
      <c r="C49" s="152">
        <f>PreviousYearFigure*(1+SalesGrowthRate)</f>
        <v>888651.77980000002</v>
      </c>
      <c r="D49" s="152">
        <f>PreviousYearFigure*(1+SalesGrowthRate)</f>
        <v>813205.24369498005</v>
      </c>
      <c r="E49" s="152">
        <f>PreviousYearFigure*(1+SalesGrowthRate)</f>
        <v>744164.11850527627</v>
      </c>
      <c r="F49" s="152">
        <f>PreviousYearFigure*(1+SalesGrowthRate)</f>
        <v>680984.58484417829</v>
      </c>
      <c r="G49" s="152">
        <f>PreviousYearFigure*(1+SalesGrowthRate)</f>
        <v>623168.99359090754</v>
      </c>
      <c r="H49" s="264">
        <f>$B49</f>
        <v>971098</v>
      </c>
      <c r="I49" s="189">
        <f>PreviousYearFigure*(1+SalesGrowthRate)</f>
        <v>888651.77980000002</v>
      </c>
      <c r="J49" s="189">
        <f>PreviousYearFigure*(1+SalesGrowthRate)</f>
        <v>813205.24369498005</v>
      </c>
      <c r="K49" s="189">
        <f>PreviousYearFigure*(1+SalesGrowthRate)</f>
        <v>744164.11850527627</v>
      </c>
      <c r="L49" s="189">
        <f>PreviousYearFigure*(1+SalesGrowthRate)</f>
        <v>680984.58484417829</v>
      </c>
      <c r="M49" s="190">
        <f>PreviousYearFigure*(1+SalesGrowthRate)</f>
        <v>623168.99359090754</v>
      </c>
      <c r="N49" s="264">
        <f>$B49</f>
        <v>971098</v>
      </c>
      <c r="O49" s="189">
        <f>PreviousYearFigure*(1+SalesGrowthRate)</f>
        <v>888651.77980000002</v>
      </c>
      <c r="P49" s="189">
        <f>PreviousYearFigure*(1+SalesGrowthRate)</f>
        <v>813205.24369498005</v>
      </c>
      <c r="Q49" s="189">
        <f>PreviousYearFigure*(1+SalesGrowthRate)</f>
        <v>744164.11850527627</v>
      </c>
      <c r="R49" s="189">
        <f>PreviousYearFigure*(1+SalesGrowthRate)</f>
        <v>680984.58484417829</v>
      </c>
      <c r="S49" s="190">
        <f>PreviousYearFigure*(1+SalesGrowthRate)</f>
        <v>623168.99359090754</v>
      </c>
      <c r="T49" s="109">
        <f t="shared" ref="T49:T63" si="18">B49/B$49</f>
        <v>1</v>
      </c>
      <c r="U49" s="104">
        <f t="shared" ref="U49:U63" si="19">C49/C$49</f>
        <v>1</v>
      </c>
      <c r="V49" s="104">
        <f t="shared" ref="V49:V63" si="20">D49/D$49</f>
        <v>1</v>
      </c>
      <c r="W49" s="104">
        <f t="shared" ref="W49:W63" si="21">E49/E$49</f>
        <v>1</v>
      </c>
      <c r="X49" s="104">
        <f t="shared" ref="X49:X63" si="22">F49/F$49</f>
        <v>1</v>
      </c>
      <c r="Y49" s="104">
        <f t="shared" ref="Y49:Y63" si="23">G49/G$49</f>
        <v>1</v>
      </c>
      <c r="Z49" s="121">
        <f t="shared" ref="Z49:Z63" si="24">H49/H$49</f>
        <v>1</v>
      </c>
      <c r="AA49" s="104">
        <f t="shared" ref="AA49:AA63" si="25">I49/I$49</f>
        <v>1</v>
      </c>
      <c r="AB49" s="104">
        <f t="shared" ref="AB49:AB63" si="26">J49/J$49</f>
        <v>1</v>
      </c>
      <c r="AC49" s="104">
        <f t="shared" ref="AC49:AC63" si="27">K49/K$49</f>
        <v>1</v>
      </c>
      <c r="AD49" s="104">
        <f t="shared" ref="AD49:AD63" si="28">L49/L$49</f>
        <v>1</v>
      </c>
      <c r="AE49" s="122">
        <f t="shared" ref="AE49:AE63" si="29">M49/M$49</f>
        <v>1</v>
      </c>
      <c r="AF49" s="123">
        <f t="shared" ref="AF49:AF63" si="30">N49/N$49</f>
        <v>1</v>
      </c>
      <c r="AG49" s="104">
        <f t="shared" ref="AG49:AG63" si="31">O49/O$49</f>
        <v>1</v>
      </c>
      <c r="AH49" s="104">
        <f t="shared" ref="AH49:AH63" si="32">P49/P$49</f>
        <v>1</v>
      </c>
      <c r="AI49" s="104">
        <f t="shared" ref="AI49:AI63" si="33">Q49/Q$49</f>
        <v>1</v>
      </c>
      <c r="AJ49" s="104">
        <f t="shared" ref="AJ49:AJ63" si="34">R49/R$49</f>
        <v>1</v>
      </c>
      <c r="AK49" s="122">
        <f t="shared" ref="AK49:AK63" si="35">S49/S$49</f>
        <v>1</v>
      </c>
    </row>
    <row r="50" spans="1:37" x14ac:dyDescent="0.15">
      <c r="A50" s="112" t="s">
        <v>145</v>
      </c>
      <c r="B50" s="151">
        <v>622446</v>
      </c>
      <c r="C50" s="152">
        <f>Sales*Percent.of.sales_COGS</f>
        <v>569600.33459999994</v>
      </c>
      <c r="D50" s="152">
        <f>Sales*Percent.of.sales_COGS</f>
        <v>521241.26619246003</v>
      </c>
      <c r="E50" s="152">
        <f>Sales*Percent.of.sales_COGS</f>
        <v>476987.88269272016</v>
      </c>
      <c r="F50" s="152">
        <f>Sales*Percent.of.sales_COGS</f>
        <v>436491.61145210819</v>
      </c>
      <c r="G50" s="152">
        <f>Sales*Percent.of.sales_COGS</f>
        <v>399433.47363982419</v>
      </c>
      <c r="H50" s="188">
        <f>$B50</f>
        <v>622446</v>
      </c>
      <c r="I50" s="189">
        <f>Sales*Percent.of.sales_COGS</f>
        <v>569600.33459999994</v>
      </c>
      <c r="J50" s="189">
        <f>Sales*Percent.of.sales_COGS</f>
        <v>521241.26619246003</v>
      </c>
      <c r="K50" s="189">
        <f>Sales*Percent.of.sales_COGS</f>
        <v>476987.88269272016</v>
      </c>
      <c r="L50" s="189">
        <f>Sales*Percent.of.sales_COGS</f>
        <v>436491.61145210819</v>
      </c>
      <c r="M50" s="190">
        <f>Sales*Percent.of.sales_COGS</f>
        <v>399433.47363982419</v>
      </c>
      <c r="N50" s="188">
        <f>$B50</f>
        <v>622446</v>
      </c>
      <c r="O50" s="189">
        <f>Sales*Percent.of.sales_COGS</f>
        <v>569600.33459999994</v>
      </c>
      <c r="P50" s="189">
        <f>Sales*Percent.of.sales_COGS</f>
        <v>521241.26619246003</v>
      </c>
      <c r="Q50" s="189">
        <f>Sales*Percent.of.sales_COGS</f>
        <v>476987.88269272016</v>
      </c>
      <c r="R50" s="189">
        <f>Sales*Percent.of.sales_COGS</f>
        <v>436491.61145210819</v>
      </c>
      <c r="S50" s="190">
        <f>Sales*Percent.of.sales_COGS</f>
        <v>399433.47363982419</v>
      </c>
      <c r="T50" s="109">
        <f t="shared" si="18"/>
        <v>0.64097135407548977</v>
      </c>
      <c r="U50" s="104">
        <f t="shared" si="19"/>
        <v>0.64097135407548977</v>
      </c>
      <c r="V50" s="104">
        <f t="shared" si="20"/>
        <v>0.64097135407548977</v>
      </c>
      <c r="W50" s="104">
        <f t="shared" si="21"/>
        <v>0.64097135407548977</v>
      </c>
      <c r="X50" s="104">
        <f t="shared" si="22"/>
        <v>0.64097135407548977</v>
      </c>
      <c r="Y50" s="104">
        <f t="shared" si="23"/>
        <v>0.64097135407548977</v>
      </c>
      <c r="Z50" s="121">
        <f t="shared" si="24"/>
        <v>0.64097135407548977</v>
      </c>
      <c r="AA50" s="104">
        <f t="shared" si="25"/>
        <v>0.64097135407548977</v>
      </c>
      <c r="AB50" s="104">
        <f t="shared" si="26"/>
        <v>0.64097135407548977</v>
      </c>
      <c r="AC50" s="104">
        <f t="shared" si="27"/>
        <v>0.64097135407548977</v>
      </c>
      <c r="AD50" s="104">
        <f t="shared" si="28"/>
        <v>0.64097135407548977</v>
      </c>
      <c r="AE50" s="122">
        <f t="shared" si="29"/>
        <v>0.64097135407548977</v>
      </c>
      <c r="AF50" s="123">
        <f t="shared" si="30"/>
        <v>0.64097135407548977</v>
      </c>
      <c r="AG50" s="104">
        <f t="shared" si="31"/>
        <v>0.64097135407548977</v>
      </c>
      <c r="AH50" s="104">
        <f t="shared" si="32"/>
        <v>0.64097135407548977</v>
      </c>
      <c r="AI50" s="104">
        <f t="shared" si="33"/>
        <v>0.64097135407548977</v>
      </c>
      <c r="AJ50" s="104">
        <f t="shared" si="34"/>
        <v>0.64097135407548977</v>
      </c>
      <c r="AK50" s="122">
        <f t="shared" si="35"/>
        <v>0.64097135407548977</v>
      </c>
    </row>
    <row r="51" spans="1:37" x14ac:dyDescent="0.15">
      <c r="A51" s="112" t="s">
        <v>146</v>
      </c>
      <c r="B51" s="151">
        <v>497004</v>
      </c>
      <c r="C51" s="152">
        <f>Sales*Percent.of.sales_Expenses</f>
        <v>454808.36040000001</v>
      </c>
      <c r="D51" s="152">
        <f>Sales*Percent.of.sales_Expenses</f>
        <v>416195.13060204004</v>
      </c>
      <c r="E51" s="152">
        <f>Sales*Percent.of.sales_Expenses</f>
        <v>380860.16401392681</v>
      </c>
      <c r="F51" s="152">
        <f>Sales*Percent.of.sales_Expenses</f>
        <v>348525.13608914445</v>
      </c>
      <c r="G51" s="152">
        <f>Sales*Percent.of.sales_Expenses</f>
        <v>318935.35203517607</v>
      </c>
      <c r="H51" s="188">
        <f>$B51</f>
        <v>497004</v>
      </c>
      <c r="I51" s="189">
        <f>Sales*Percent.of.sales_Expenses</f>
        <v>454808.36040000001</v>
      </c>
      <c r="J51" s="189">
        <f>Sales*Percent.of.sales_Expenses</f>
        <v>416195.13060204004</v>
      </c>
      <c r="K51" s="189">
        <f>Sales*Percent.of.sales_Expenses</f>
        <v>380860.16401392681</v>
      </c>
      <c r="L51" s="189">
        <f>Sales*Percent.of.sales_Expenses</f>
        <v>348525.13608914445</v>
      </c>
      <c r="M51" s="190">
        <f>Sales*Percent.of.sales_Expenses</f>
        <v>318935.35203517607</v>
      </c>
      <c r="N51" s="188">
        <f>$B51</f>
        <v>497004</v>
      </c>
      <c r="O51" s="189">
        <f>Sales*Percent.of.sales_Expenses</f>
        <v>454808.36040000001</v>
      </c>
      <c r="P51" s="189">
        <f>Sales*Percent.of.sales_Expenses</f>
        <v>416195.13060204004</v>
      </c>
      <c r="Q51" s="189">
        <f>Sales*Percent.of.sales_Expenses</f>
        <v>380860.16401392681</v>
      </c>
      <c r="R51" s="189">
        <f>Sales*Percent.of.sales_Expenses</f>
        <v>348525.13608914445</v>
      </c>
      <c r="S51" s="190">
        <f>Sales*Percent.of.sales_Expenses</f>
        <v>318935.35203517607</v>
      </c>
      <c r="T51" s="109">
        <f t="shared" si="18"/>
        <v>0.51179592584888445</v>
      </c>
      <c r="U51" s="104">
        <f t="shared" si="19"/>
        <v>0.51179592584888445</v>
      </c>
      <c r="V51" s="104">
        <f t="shared" si="20"/>
        <v>0.51179592584888445</v>
      </c>
      <c r="W51" s="104">
        <f t="shared" si="21"/>
        <v>0.51179592584888445</v>
      </c>
      <c r="X51" s="104">
        <f t="shared" si="22"/>
        <v>0.51179592584888445</v>
      </c>
      <c r="Y51" s="104">
        <f t="shared" si="23"/>
        <v>0.51179592584888445</v>
      </c>
      <c r="Z51" s="121">
        <f t="shared" si="24"/>
        <v>0.51179592584888445</v>
      </c>
      <c r="AA51" s="104">
        <f t="shared" si="25"/>
        <v>0.51179592584888445</v>
      </c>
      <c r="AB51" s="104">
        <f t="shared" si="26"/>
        <v>0.51179592584888445</v>
      </c>
      <c r="AC51" s="104">
        <f t="shared" si="27"/>
        <v>0.51179592584888445</v>
      </c>
      <c r="AD51" s="104">
        <f t="shared" si="28"/>
        <v>0.51179592584888445</v>
      </c>
      <c r="AE51" s="122">
        <f t="shared" si="29"/>
        <v>0.51179592584888445</v>
      </c>
      <c r="AF51" s="123">
        <f t="shared" si="30"/>
        <v>0.51179592584888445</v>
      </c>
      <c r="AG51" s="104">
        <f t="shared" si="31"/>
        <v>0.51179592584888445</v>
      </c>
      <c r="AH51" s="104">
        <f t="shared" si="32"/>
        <v>0.51179592584888445</v>
      </c>
      <c r="AI51" s="104">
        <f t="shared" si="33"/>
        <v>0.51179592584888445</v>
      </c>
      <c r="AJ51" s="104">
        <f t="shared" si="34"/>
        <v>0.51179592584888445</v>
      </c>
      <c r="AK51" s="122">
        <f t="shared" si="35"/>
        <v>0.51179592584888445</v>
      </c>
    </row>
    <row r="52" spans="1:37" x14ac:dyDescent="0.15">
      <c r="A52" s="112" t="s">
        <v>42</v>
      </c>
      <c r="B52" s="154">
        <v>40773</v>
      </c>
      <c r="C52" s="155">
        <f>NPPE*Percent.of.NFA_Depreciation</f>
        <v>37311.372300000003</v>
      </c>
      <c r="D52" s="155">
        <f>NPPE*Percent.of.NFA_Depreciation</f>
        <v>34143.636791730001</v>
      </c>
      <c r="E52" s="155">
        <f>NPPE*Percent.of.NFA_Depreciation</f>
        <v>31244.842028112125</v>
      </c>
      <c r="F52" s="155">
        <f>NPPE*Percent.of.NFA_Depreciation</f>
        <v>28592.154939925407</v>
      </c>
      <c r="G52" s="155">
        <f>NPPE*Percent.of.NFA_Depreciation</f>
        <v>26164.680985525738</v>
      </c>
      <c r="H52" s="191">
        <f>$B52</f>
        <v>40773</v>
      </c>
      <c r="I52" s="155">
        <f>NPPE*Percent.of.NFA_Depreciation</f>
        <v>37311.372300000003</v>
      </c>
      <c r="J52" s="155">
        <f>NPPE*Percent.of.NFA_Depreciation</f>
        <v>34143.636791730001</v>
      </c>
      <c r="K52" s="155">
        <f>NPPE*Percent.of.NFA_Depreciation</f>
        <v>31244.842028112125</v>
      </c>
      <c r="L52" s="155">
        <f>NPPE*Percent.of.NFA_Depreciation</f>
        <v>28592.154939925407</v>
      </c>
      <c r="M52" s="192">
        <f>NPPE*Percent.of.NFA_Depreciation</f>
        <v>26164.680985525738</v>
      </c>
      <c r="N52" s="191">
        <f>$B52</f>
        <v>40773</v>
      </c>
      <c r="O52" s="155">
        <f>NPPE*Percent.of.NFA_Depreciation</f>
        <v>37311.372300000003</v>
      </c>
      <c r="P52" s="155">
        <f>NPPE*Percent.of.NFA_Depreciation</f>
        <v>34143.636791730001</v>
      </c>
      <c r="Q52" s="155">
        <f>NPPE*Percent.of.NFA_Depreciation</f>
        <v>31244.842028112125</v>
      </c>
      <c r="R52" s="155">
        <f>NPPE*Percent.of.NFA_Depreciation</f>
        <v>28592.154939925407</v>
      </c>
      <c r="S52" s="192">
        <f>NPPE*Percent.of.NFA_Depreciation</f>
        <v>26164.680985525738</v>
      </c>
      <c r="T52" s="127">
        <f t="shared" si="18"/>
        <v>4.1986493639158975E-2</v>
      </c>
      <c r="U52" s="125">
        <f t="shared" si="19"/>
        <v>4.1986493639158975E-2</v>
      </c>
      <c r="V52" s="125">
        <f t="shared" si="20"/>
        <v>4.1986493639158969E-2</v>
      </c>
      <c r="W52" s="125">
        <f t="shared" si="21"/>
        <v>4.1986493639158969E-2</v>
      </c>
      <c r="X52" s="125">
        <f t="shared" si="22"/>
        <v>4.1986493639158975E-2</v>
      </c>
      <c r="Y52" s="125">
        <f t="shared" si="23"/>
        <v>4.1986493639158975E-2</v>
      </c>
      <c r="Z52" s="124">
        <f t="shared" si="24"/>
        <v>4.1986493639158975E-2</v>
      </c>
      <c r="AA52" s="125">
        <f t="shared" si="25"/>
        <v>4.1986493639158975E-2</v>
      </c>
      <c r="AB52" s="125">
        <f t="shared" si="26"/>
        <v>4.1986493639158969E-2</v>
      </c>
      <c r="AC52" s="125">
        <f t="shared" si="27"/>
        <v>4.1986493639158969E-2</v>
      </c>
      <c r="AD52" s="125">
        <f t="shared" si="28"/>
        <v>4.1986493639158975E-2</v>
      </c>
      <c r="AE52" s="126">
        <f t="shared" si="29"/>
        <v>4.1986493639158975E-2</v>
      </c>
      <c r="AF52" s="127">
        <f t="shared" si="30"/>
        <v>4.1986493639158975E-2</v>
      </c>
      <c r="AG52" s="125">
        <f t="shared" si="31"/>
        <v>4.1986493639158975E-2</v>
      </c>
      <c r="AH52" s="125">
        <f t="shared" si="32"/>
        <v>4.1986493639158969E-2</v>
      </c>
      <c r="AI52" s="125">
        <f t="shared" si="33"/>
        <v>4.1986493639158969E-2</v>
      </c>
      <c r="AJ52" s="125">
        <f t="shared" si="34"/>
        <v>4.1986493639158975E-2</v>
      </c>
      <c r="AK52" s="126">
        <f t="shared" si="35"/>
        <v>4.1986493639158975E-2</v>
      </c>
    </row>
    <row r="53" spans="1:37" x14ac:dyDescent="0.15">
      <c r="A53" s="112" t="s">
        <v>183</v>
      </c>
      <c r="B53" s="156">
        <f t="shared" ref="B53:S53" si="36">OperatingExpenses+Depreciation</f>
        <v>537777</v>
      </c>
      <c r="C53" s="155">
        <f t="shared" si="36"/>
        <v>492119.73269999999</v>
      </c>
      <c r="D53" s="155">
        <f t="shared" si="36"/>
        <v>450338.76739377005</v>
      </c>
      <c r="E53" s="155">
        <f t="shared" si="36"/>
        <v>412105.00604203896</v>
      </c>
      <c r="F53" s="155">
        <f t="shared" si="36"/>
        <v>377117.29102906986</v>
      </c>
      <c r="G53" s="155">
        <f t="shared" si="36"/>
        <v>345100.03302070178</v>
      </c>
      <c r="H53" s="191">
        <f t="shared" si="36"/>
        <v>537777</v>
      </c>
      <c r="I53" s="155">
        <f t="shared" si="36"/>
        <v>492119.73269999999</v>
      </c>
      <c r="J53" s="155">
        <f t="shared" si="36"/>
        <v>450338.76739377005</v>
      </c>
      <c r="K53" s="155">
        <f t="shared" si="36"/>
        <v>412105.00604203896</v>
      </c>
      <c r="L53" s="155">
        <f t="shared" si="36"/>
        <v>377117.29102906986</v>
      </c>
      <c r="M53" s="192">
        <f t="shared" si="36"/>
        <v>345100.03302070178</v>
      </c>
      <c r="N53" s="191">
        <f t="shared" si="36"/>
        <v>537777</v>
      </c>
      <c r="O53" s="155">
        <f t="shared" si="36"/>
        <v>492119.73269999999</v>
      </c>
      <c r="P53" s="155">
        <f t="shared" si="36"/>
        <v>450338.76739377005</v>
      </c>
      <c r="Q53" s="155">
        <f t="shared" si="36"/>
        <v>412105.00604203896</v>
      </c>
      <c r="R53" s="155">
        <f t="shared" si="36"/>
        <v>377117.29102906986</v>
      </c>
      <c r="S53" s="192">
        <f t="shared" si="36"/>
        <v>345100.03302070178</v>
      </c>
      <c r="T53" s="127">
        <f t="shared" si="18"/>
        <v>0.55378241948804341</v>
      </c>
      <c r="U53" s="125">
        <f t="shared" si="19"/>
        <v>0.55378241948804341</v>
      </c>
      <c r="V53" s="125">
        <f t="shared" si="20"/>
        <v>0.55378241948804341</v>
      </c>
      <c r="W53" s="125">
        <f t="shared" si="21"/>
        <v>0.55378241948804341</v>
      </c>
      <c r="X53" s="125">
        <f t="shared" si="22"/>
        <v>0.55378241948804341</v>
      </c>
      <c r="Y53" s="125">
        <f t="shared" si="23"/>
        <v>0.55378241948804341</v>
      </c>
      <c r="Z53" s="124">
        <f t="shared" si="24"/>
        <v>0.55378241948804341</v>
      </c>
      <c r="AA53" s="125">
        <f t="shared" si="25"/>
        <v>0.55378241948804341</v>
      </c>
      <c r="AB53" s="125">
        <f t="shared" si="26"/>
        <v>0.55378241948804341</v>
      </c>
      <c r="AC53" s="125">
        <f t="shared" si="27"/>
        <v>0.55378241948804341</v>
      </c>
      <c r="AD53" s="125">
        <f t="shared" si="28"/>
        <v>0.55378241948804341</v>
      </c>
      <c r="AE53" s="126">
        <f t="shared" si="29"/>
        <v>0.55378241948804341</v>
      </c>
      <c r="AF53" s="127">
        <f t="shared" si="30"/>
        <v>0.55378241948804341</v>
      </c>
      <c r="AG53" s="125">
        <f t="shared" si="31"/>
        <v>0.55378241948804341</v>
      </c>
      <c r="AH53" s="125">
        <f t="shared" si="32"/>
        <v>0.55378241948804341</v>
      </c>
      <c r="AI53" s="125">
        <f t="shared" si="33"/>
        <v>0.55378241948804341</v>
      </c>
      <c r="AJ53" s="125">
        <f t="shared" si="34"/>
        <v>0.55378241948804341</v>
      </c>
      <c r="AK53" s="126">
        <f t="shared" si="35"/>
        <v>0.55378241948804341</v>
      </c>
    </row>
    <row r="54" spans="1:37" x14ac:dyDescent="0.15">
      <c r="A54" s="112" t="s">
        <v>147</v>
      </c>
      <c r="B54" s="153">
        <f t="shared" ref="B54:S54" si="37">Sales-COGS-OperatingExpenses-Depreciation</f>
        <v>-189125</v>
      </c>
      <c r="C54" s="152">
        <f t="shared" si="37"/>
        <v>-173068.28749999992</v>
      </c>
      <c r="D54" s="152">
        <f t="shared" si="37"/>
        <v>-158374.78989125002</v>
      </c>
      <c r="E54" s="152">
        <f t="shared" si="37"/>
        <v>-144928.77022948282</v>
      </c>
      <c r="F54" s="152">
        <f t="shared" si="37"/>
        <v>-132624.31763699977</v>
      </c>
      <c r="G54" s="152">
        <f t="shared" si="37"/>
        <v>-121364.51306961846</v>
      </c>
      <c r="H54" s="188">
        <f t="shared" si="37"/>
        <v>-189125</v>
      </c>
      <c r="I54" s="189">
        <f t="shared" si="37"/>
        <v>-173068.28749999992</v>
      </c>
      <c r="J54" s="189">
        <f t="shared" si="37"/>
        <v>-158374.78989125002</v>
      </c>
      <c r="K54" s="189">
        <f t="shared" si="37"/>
        <v>-144928.77022948282</v>
      </c>
      <c r="L54" s="189">
        <f t="shared" si="37"/>
        <v>-132624.31763699977</v>
      </c>
      <c r="M54" s="190">
        <f t="shared" si="37"/>
        <v>-121364.51306961846</v>
      </c>
      <c r="N54" s="188">
        <f t="shared" si="37"/>
        <v>-189125</v>
      </c>
      <c r="O54" s="189">
        <f t="shared" si="37"/>
        <v>-173068.28749999992</v>
      </c>
      <c r="P54" s="189">
        <f t="shared" si="37"/>
        <v>-158374.78989125002</v>
      </c>
      <c r="Q54" s="189">
        <f t="shared" si="37"/>
        <v>-144928.77022948282</v>
      </c>
      <c r="R54" s="189">
        <f t="shared" si="37"/>
        <v>-132624.31763699977</v>
      </c>
      <c r="S54" s="190">
        <f t="shared" si="37"/>
        <v>-121364.51306961846</v>
      </c>
      <c r="T54" s="109">
        <f t="shared" si="18"/>
        <v>-0.19475377356353324</v>
      </c>
      <c r="U54" s="104">
        <f t="shared" si="19"/>
        <v>-0.19475377356353316</v>
      </c>
      <c r="V54" s="104">
        <f t="shared" si="20"/>
        <v>-0.19475377356353327</v>
      </c>
      <c r="W54" s="104">
        <f t="shared" si="21"/>
        <v>-0.19475377356353316</v>
      </c>
      <c r="X54" s="104">
        <f t="shared" si="22"/>
        <v>-0.19475377356353321</v>
      </c>
      <c r="Y54" s="104">
        <f t="shared" si="23"/>
        <v>-0.19475377356353318</v>
      </c>
      <c r="Z54" s="121">
        <f t="shared" si="24"/>
        <v>-0.19475377356353324</v>
      </c>
      <c r="AA54" s="104">
        <f t="shared" si="25"/>
        <v>-0.19475377356353316</v>
      </c>
      <c r="AB54" s="104">
        <f t="shared" si="26"/>
        <v>-0.19475377356353327</v>
      </c>
      <c r="AC54" s="104">
        <f t="shared" si="27"/>
        <v>-0.19475377356353316</v>
      </c>
      <c r="AD54" s="104">
        <f t="shared" si="28"/>
        <v>-0.19475377356353321</v>
      </c>
      <c r="AE54" s="122">
        <f t="shared" si="29"/>
        <v>-0.19475377356353318</v>
      </c>
      <c r="AF54" s="123">
        <f t="shared" si="30"/>
        <v>-0.19475377356353324</v>
      </c>
      <c r="AG54" s="104">
        <f t="shared" si="31"/>
        <v>-0.19475377356353316</v>
      </c>
      <c r="AH54" s="104">
        <f t="shared" si="32"/>
        <v>-0.19475377356353327</v>
      </c>
      <c r="AI54" s="104">
        <f t="shared" si="33"/>
        <v>-0.19475377356353316</v>
      </c>
      <c r="AJ54" s="104">
        <f t="shared" si="34"/>
        <v>-0.19475377356353321</v>
      </c>
      <c r="AK54" s="122">
        <f t="shared" si="35"/>
        <v>-0.19475377356353318</v>
      </c>
    </row>
    <row r="55" spans="1:37" x14ac:dyDescent="0.15">
      <c r="A55" s="112" t="s">
        <v>174</v>
      </c>
      <c r="B55" s="410">
        <f>'[1]Data From SEC'!B79</f>
        <v>355634</v>
      </c>
      <c r="C55" s="189">
        <f>PreviousYearFigure+Additional.Interest</f>
        <v>1465823.9860302138</v>
      </c>
      <c r="D55" s="189">
        <f>PreviousYearFigure+Additional.Interest</f>
        <v>4669705.3650966799</v>
      </c>
      <c r="E55" s="189">
        <f>PreviousYearFigure+Additional.Interest</f>
        <v>13951811.06437932</v>
      </c>
      <c r="F55" s="189">
        <f>PreviousYearFigure+Additional.Interest</f>
        <v>40872454.255052045</v>
      </c>
      <c r="G55" s="189">
        <f>PreviousYearFigure+Additional.Interest</f>
        <v>118971661.14060041</v>
      </c>
      <c r="H55" s="188">
        <f>$B55</f>
        <v>355634</v>
      </c>
      <c r="I55" s="189">
        <f>PreviousYearFigure+Additional.Interest</f>
        <v>355634</v>
      </c>
      <c r="J55" s="189">
        <f>PreviousYearFigure+Additional.Interest</f>
        <v>355634</v>
      </c>
      <c r="K55" s="189">
        <f>PreviousYearFigure+Additional.Interest</f>
        <v>355634</v>
      </c>
      <c r="L55" s="189">
        <f>PreviousYearFigure+Additional.Interest</f>
        <v>355634</v>
      </c>
      <c r="M55" s="190">
        <f>PreviousYearFigure+Additional.Interest</f>
        <v>355634</v>
      </c>
      <c r="N55" s="188">
        <f>$B55</f>
        <v>355634</v>
      </c>
      <c r="O55" s="189">
        <f>PreviousYearFigure+Additional.Interest</f>
        <v>355634</v>
      </c>
      <c r="P55" s="189">
        <f>PreviousYearFigure+Additional.Interest</f>
        <v>355634</v>
      </c>
      <c r="Q55" s="189">
        <f>PreviousYearFigure+Additional.Interest</f>
        <v>355634</v>
      </c>
      <c r="R55" s="189">
        <f>PreviousYearFigure+Additional.Interest</f>
        <v>355634</v>
      </c>
      <c r="S55" s="190">
        <f>PreviousYearFigure+Additional.Interest</f>
        <v>355634</v>
      </c>
      <c r="T55" s="109">
        <f t="shared" ref="T55:AC56" si="38">B55/B$49</f>
        <v>0.3662184455121934</v>
      </c>
      <c r="U55" s="285">
        <f t="shared" si="38"/>
        <v>1.6494919825177328</v>
      </c>
      <c r="V55" s="285">
        <f t="shared" si="38"/>
        <v>5.7423453688995272</v>
      </c>
      <c r="W55" s="285">
        <f t="shared" si="38"/>
        <v>18.748298550597745</v>
      </c>
      <c r="X55" s="285">
        <f t="shared" si="38"/>
        <v>60.019646794801396</v>
      </c>
      <c r="Y55" s="285">
        <f t="shared" si="38"/>
        <v>190.9139613237912</v>
      </c>
      <c r="Z55" s="121">
        <f t="shared" si="38"/>
        <v>0.3662184455121934</v>
      </c>
      <c r="AA55" s="285">
        <f t="shared" si="38"/>
        <v>0.4001950011061014</v>
      </c>
      <c r="AB55" s="285">
        <f t="shared" si="38"/>
        <v>0.43732379095847601</v>
      </c>
      <c r="AC55" s="285">
        <f t="shared" si="38"/>
        <v>0.47789726910553598</v>
      </c>
      <c r="AD55" s="285">
        <f t="shared" si="28"/>
        <v>0.52223502251725062</v>
      </c>
      <c r="AE55" s="122">
        <f t="shared" si="29"/>
        <v>0.57068628840263425</v>
      </c>
      <c r="AF55" s="109">
        <f t="shared" si="30"/>
        <v>0.3662184455121934</v>
      </c>
      <c r="AG55" s="285">
        <f t="shared" si="31"/>
        <v>0.4001950011061014</v>
      </c>
      <c r="AH55" s="285">
        <f t="shared" si="32"/>
        <v>0.43732379095847601</v>
      </c>
      <c r="AI55" s="285">
        <f t="shared" si="33"/>
        <v>0.47789726910553598</v>
      </c>
      <c r="AJ55" s="285">
        <f t="shared" si="34"/>
        <v>0.52223502251725062</v>
      </c>
      <c r="AK55" s="122">
        <f t="shared" si="35"/>
        <v>0.57068628840263425</v>
      </c>
    </row>
    <row r="56" spans="1:37" x14ac:dyDescent="0.15">
      <c r="A56" s="112" t="s">
        <v>185</v>
      </c>
      <c r="B56" s="410">
        <f>'[1]Data From SEC'!B80</f>
        <v>54901</v>
      </c>
      <c r="C56" s="155">
        <f>Sales*Percent.of.sales_NonOpExp</f>
        <v>50239.905100000004</v>
      </c>
      <c r="D56" s="155">
        <f>Sales*Percent.of.sales_NonOpExp</f>
        <v>45974.537157010003</v>
      </c>
      <c r="E56" s="155">
        <f>Sales*Percent.of.sales_NonOpExp</f>
        <v>42071.298952379853</v>
      </c>
      <c r="F56" s="155">
        <f>Sales*Percent.of.sales_NonOpExp</f>
        <v>38499.445671322806</v>
      </c>
      <c r="G56" s="155">
        <f>Sales*Percent.of.sales_NonOpExp</f>
        <v>35230.8427338275</v>
      </c>
      <c r="H56" s="191">
        <f>$B56</f>
        <v>54901</v>
      </c>
      <c r="I56" s="155">
        <f>Sales*Percent.of.sales_NonOpExp</f>
        <v>50239.905100000004</v>
      </c>
      <c r="J56" s="155">
        <f>Sales*Percent.of.sales_NonOpExp</f>
        <v>45974.537157010003</v>
      </c>
      <c r="K56" s="155">
        <f>Sales*Percent.of.sales_NonOpExp</f>
        <v>42071.298952379853</v>
      </c>
      <c r="L56" s="155">
        <f>Sales*Percent.of.sales_NonOpExp</f>
        <v>38499.445671322806</v>
      </c>
      <c r="M56" s="192">
        <f>Sales*Percent.of.sales_NonOpExp</f>
        <v>35230.8427338275</v>
      </c>
      <c r="N56" s="191">
        <f>$B56</f>
        <v>54901</v>
      </c>
      <c r="O56" s="155">
        <f>Sales*Percent.of.sales_NonOpExp</f>
        <v>50239.905100000004</v>
      </c>
      <c r="P56" s="155">
        <f>Sales*Percent.of.sales_NonOpExp</f>
        <v>45974.537157010003</v>
      </c>
      <c r="Q56" s="155">
        <f>Sales*Percent.of.sales_NonOpExp</f>
        <v>42071.298952379853</v>
      </c>
      <c r="R56" s="155">
        <f>Sales*Percent.of.sales_NonOpExp</f>
        <v>38499.445671322806</v>
      </c>
      <c r="S56" s="192">
        <f>Sales*Percent.of.sales_NonOpExp</f>
        <v>35230.8427338275</v>
      </c>
      <c r="T56" s="127">
        <f t="shared" si="38"/>
        <v>5.6534973813147593E-2</v>
      </c>
      <c r="U56" s="125">
        <f t="shared" si="38"/>
        <v>5.6534973813147593E-2</v>
      </c>
      <c r="V56" s="125">
        <f t="shared" si="38"/>
        <v>5.6534973813147593E-2</v>
      </c>
      <c r="W56" s="125">
        <f t="shared" si="38"/>
        <v>5.6534973813147586E-2</v>
      </c>
      <c r="X56" s="125">
        <f t="shared" si="38"/>
        <v>5.6534973813147593E-2</v>
      </c>
      <c r="Y56" s="125">
        <f t="shared" si="38"/>
        <v>5.6534973813147593E-2</v>
      </c>
      <c r="Z56" s="124">
        <f t="shared" si="38"/>
        <v>5.6534973813147593E-2</v>
      </c>
      <c r="AA56" s="125">
        <f t="shared" si="38"/>
        <v>5.6534973813147593E-2</v>
      </c>
      <c r="AB56" s="125">
        <f t="shared" si="38"/>
        <v>5.6534973813147593E-2</v>
      </c>
      <c r="AC56" s="125">
        <f t="shared" si="38"/>
        <v>5.6534973813147586E-2</v>
      </c>
      <c r="AD56" s="125">
        <f t="shared" si="28"/>
        <v>5.6534973813147593E-2</v>
      </c>
      <c r="AE56" s="126">
        <f t="shared" si="29"/>
        <v>5.6534973813147593E-2</v>
      </c>
      <c r="AF56" s="127">
        <f t="shared" si="30"/>
        <v>5.6534973813147593E-2</v>
      </c>
      <c r="AG56" s="125">
        <f t="shared" si="31"/>
        <v>5.6534973813147593E-2</v>
      </c>
      <c r="AH56" s="125">
        <f t="shared" si="32"/>
        <v>5.6534973813147593E-2</v>
      </c>
      <c r="AI56" s="125">
        <f t="shared" si="33"/>
        <v>5.6534973813147586E-2</v>
      </c>
      <c r="AJ56" s="125">
        <f t="shared" si="34"/>
        <v>5.6534973813147593E-2</v>
      </c>
      <c r="AK56" s="126">
        <f t="shared" si="35"/>
        <v>5.6534973813147593E-2</v>
      </c>
    </row>
    <row r="57" spans="1:37" x14ac:dyDescent="0.15">
      <c r="A57" s="112" t="s">
        <v>148</v>
      </c>
      <c r="B57" s="153">
        <f t="shared" ref="B57:S57" si="39">EBIT-Interest-NonOperatingExpenses</f>
        <v>-599660</v>
      </c>
      <c r="C57" s="152">
        <f t="shared" si="39"/>
        <v>-1689132.1786302137</v>
      </c>
      <c r="D57" s="152">
        <f t="shared" si="39"/>
        <v>-4874054.6921449406</v>
      </c>
      <c r="E57" s="152">
        <f t="shared" si="39"/>
        <v>-14138811.133561183</v>
      </c>
      <c r="F57" s="152">
        <f t="shared" si="39"/>
        <v>-41043578.018360361</v>
      </c>
      <c r="G57" s="152">
        <f t="shared" si="39"/>
        <v>-119128256.49640386</v>
      </c>
      <c r="H57" s="188">
        <f t="shared" si="39"/>
        <v>-599660</v>
      </c>
      <c r="I57" s="189">
        <f t="shared" si="39"/>
        <v>-578942.19259999983</v>
      </c>
      <c r="J57" s="189">
        <f t="shared" si="39"/>
        <v>-559983.32704826002</v>
      </c>
      <c r="K57" s="189">
        <f t="shared" si="39"/>
        <v>-542634.06918186264</v>
      </c>
      <c r="L57" s="189">
        <f t="shared" si="39"/>
        <v>-526757.76330832252</v>
      </c>
      <c r="M57" s="190">
        <f t="shared" si="39"/>
        <v>-512229.35580344597</v>
      </c>
      <c r="N57" s="188">
        <f t="shared" si="39"/>
        <v>-599660</v>
      </c>
      <c r="O57" s="189">
        <f t="shared" si="39"/>
        <v>-578942.19259999983</v>
      </c>
      <c r="P57" s="189">
        <f t="shared" si="39"/>
        <v>-559983.32704826002</v>
      </c>
      <c r="Q57" s="189">
        <f t="shared" si="39"/>
        <v>-542634.06918186264</v>
      </c>
      <c r="R57" s="189">
        <f t="shared" si="39"/>
        <v>-526757.76330832252</v>
      </c>
      <c r="S57" s="190">
        <f t="shared" si="39"/>
        <v>-512229.35580344597</v>
      </c>
      <c r="T57" s="109">
        <f t="shared" si="18"/>
        <v>-0.61750719288887423</v>
      </c>
      <c r="U57" s="104">
        <f t="shared" si="19"/>
        <v>-1.9007807298944135</v>
      </c>
      <c r="V57" s="104">
        <f t="shared" si="20"/>
        <v>-5.9936341162762083</v>
      </c>
      <c r="W57" s="104">
        <f t="shared" si="21"/>
        <v>-18.999587297974426</v>
      </c>
      <c r="X57" s="104">
        <f t="shared" si="22"/>
        <v>-60.270935542178066</v>
      </c>
      <c r="Y57" s="104">
        <f t="shared" si="23"/>
        <v>-191.16525007116789</v>
      </c>
      <c r="Z57" s="121">
        <f t="shared" si="24"/>
        <v>-0.61750719288887423</v>
      </c>
      <c r="AA57" s="104">
        <f t="shared" si="25"/>
        <v>-0.65148374848278201</v>
      </c>
      <c r="AB57" s="104">
        <f t="shared" si="26"/>
        <v>-0.6886125383351569</v>
      </c>
      <c r="AC57" s="104">
        <f t="shared" si="27"/>
        <v>-0.7291860164822167</v>
      </c>
      <c r="AD57" s="104">
        <f t="shared" si="28"/>
        <v>-0.77352376989393135</v>
      </c>
      <c r="AE57" s="122">
        <f t="shared" si="29"/>
        <v>-0.82197503577931508</v>
      </c>
      <c r="AF57" s="123">
        <f t="shared" si="30"/>
        <v>-0.61750719288887423</v>
      </c>
      <c r="AG57" s="104">
        <f t="shared" si="31"/>
        <v>-0.65148374848278201</v>
      </c>
      <c r="AH57" s="104">
        <f t="shared" si="32"/>
        <v>-0.6886125383351569</v>
      </c>
      <c r="AI57" s="104">
        <f t="shared" si="33"/>
        <v>-0.7291860164822167</v>
      </c>
      <c r="AJ57" s="104">
        <f t="shared" si="34"/>
        <v>-0.77352376989393135</v>
      </c>
      <c r="AK57" s="122">
        <f t="shared" si="35"/>
        <v>-0.82197503577931508</v>
      </c>
    </row>
    <row r="58" spans="1:37" x14ac:dyDescent="0.15">
      <c r="A58" s="112" t="s">
        <v>43</v>
      </c>
      <c r="B58" s="411">
        <f>'[1]Data From SEC'!B83</f>
        <v>4222</v>
      </c>
      <c r="C58" s="155">
        <f>EBT*TaxRate</f>
        <v>11892.599236528637</v>
      </c>
      <c r="D58" s="155">
        <f>EBT*TaxRate</f>
        <v>34316.544225454323</v>
      </c>
      <c r="E58" s="155">
        <f>EBT*TaxRate</f>
        <v>99546.510699221748</v>
      </c>
      <c r="F58" s="155">
        <f>EBT*TaxRate</f>
        <v>288973.72910235374</v>
      </c>
      <c r="G58" s="155">
        <f>EBT*TaxRate</f>
        <v>838741.11817999708</v>
      </c>
      <c r="H58" s="191">
        <f>$B58</f>
        <v>4222</v>
      </c>
      <c r="I58" s="155">
        <f>EBT*TaxRate</f>
        <v>4076.1330373164783</v>
      </c>
      <c r="J58" s="155">
        <f>EBT*TaxRate</f>
        <v>3942.6501797647898</v>
      </c>
      <c r="K58" s="155">
        <f>EBT*TaxRate</f>
        <v>3820.5000168192378</v>
      </c>
      <c r="L58" s="155">
        <f>EBT*TaxRate</f>
        <v>3708.7204027077637</v>
      </c>
      <c r="M58" s="192">
        <f>EBT*TaxRate</f>
        <v>3606.4308778343543</v>
      </c>
      <c r="N58" s="191">
        <f>$B58</f>
        <v>4222</v>
      </c>
      <c r="O58" s="155">
        <f>EBT*TaxRate</f>
        <v>4076.1330373164783</v>
      </c>
      <c r="P58" s="155">
        <f>EBT*TaxRate</f>
        <v>3942.6501797647898</v>
      </c>
      <c r="Q58" s="155">
        <f>EBT*TaxRate</f>
        <v>3820.5000168192378</v>
      </c>
      <c r="R58" s="155">
        <f>EBT*TaxRate</f>
        <v>3708.7204027077637</v>
      </c>
      <c r="S58" s="192">
        <f>EBT*TaxRate</f>
        <v>3606.4308778343543</v>
      </c>
      <c r="T58" s="127">
        <f t="shared" si="18"/>
        <v>4.3476559523343682E-3</v>
      </c>
      <c r="U58" s="125">
        <f t="shared" si="19"/>
        <v>1.3382743957599664E-2</v>
      </c>
      <c r="V58" s="125">
        <f t="shared" si="20"/>
        <v>4.2199118231861642E-2</v>
      </c>
      <c r="W58" s="125">
        <f t="shared" si="21"/>
        <v>0.13376956537379187</v>
      </c>
      <c r="X58" s="125">
        <f t="shared" si="22"/>
        <v>0.42434694636806825</v>
      </c>
      <c r="Y58" s="125">
        <f t="shared" si="23"/>
        <v>1.3459288360078556</v>
      </c>
      <c r="Z58" s="124">
        <f t="shared" si="24"/>
        <v>4.3476559523343682E-3</v>
      </c>
      <c r="AA58" s="125">
        <f t="shared" si="25"/>
        <v>4.5868732049733282E-3</v>
      </c>
      <c r="AB58" s="125">
        <f t="shared" si="26"/>
        <v>4.8482842558300243E-3</v>
      </c>
      <c r="AC58" s="125">
        <f t="shared" si="27"/>
        <v>5.1339481732780561E-3</v>
      </c>
      <c r="AD58" s="125">
        <f t="shared" si="28"/>
        <v>5.4461150593539303E-3</v>
      </c>
      <c r="AE58" s="126">
        <f t="shared" si="29"/>
        <v>5.7872437732386156E-3</v>
      </c>
      <c r="AF58" s="127">
        <f t="shared" si="30"/>
        <v>4.3476559523343682E-3</v>
      </c>
      <c r="AG58" s="125">
        <f t="shared" si="31"/>
        <v>4.5868732049733282E-3</v>
      </c>
      <c r="AH58" s="125">
        <f t="shared" si="32"/>
        <v>4.8482842558300243E-3</v>
      </c>
      <c r="AI58" s="125">
        <f t="shared" si="33"/>
        <v>5.1339481732780561E-3</v>
      </c>
      <c r="AJ58" s="125">
        <f t="shared" si="34"/>
        <v>5.4461150593539303E-3</v>
      </c>
      <c r="AK58" s="126">
        <f t="shared" si="35"/>
        <v>5.7872437732386156E-3</v>
      </c>
    </row>
    <row r="59" spans="1:37" x14ac:dyDescent="0.15">
      <c r="A59" s="112" t="s">
        <v>149</v>
      </c>
      <c r="B59" s="153">
        <f t="shared" ref="B59:S59" si="40">EBT-Taxes</f>
        <v>-603882</v>
      </c>
      <c r="C59" s="152">
        <f t="shared" si="40"/>
        <v>-1701024.7778667423</v>
      </c>
      <c r="D59" s="152">
        <f t="shared" si="40"/>
        <v>-4908371.2363703949</v>
      </c>
      <c r="E59" s="152">
        <f t="shared" si="40"/>
        <v>-14238357.644260405</v>
      </c>
      <c r="F59" s="152">
        <f t="shared" si="40"/>
        <v>-41332551.747462712</v>
      </c>
      <c r="G59" s="152">
        <f t="shared" si="40"/>
        <v>-119966997.61458385</v>
      </c>
      <c r="H59" s="188">
        <f t="shared" si="40"/>
        <v>-603882</v>
      </c>
      <c r="I59" s="189">
        <f t="shared" si="40"/>
        <v>-583018.32563731633</v>
      </c>
      <c r="J59" s="189">
        <f t="shared" si="40"/>
        <v>-563925.97722802486</v>
      </c>
      <c r="K59" s="189">
        <f t="shared" si="40"/>
        <v>-546454.56919868186</v>
      </c>
      <c r="L59" s="189">
        <f t="shared" si="40"/>
        <v>-530466.48371103033</v>
      </c>
      <c r="M59" s="190">
        <f t="shared" si="40"/>
        <v>-515835.7866812803</v>
      </c>
      <c r="N59" s="188">
        <f t="shared" si="40"/>
        <v>-603882</v>
      </c>
      <c r="O59" s="189">
        <f t="shared" si="40"/>
        <v>-583018.32563731633</v>
      </c>
      <c r="P59" s="189">
        <f t="shared" si="40"/>
        <v>-563925.97722802486</v>
      </c>
      <c r="Q59" s="189">
        <f t="shared" si="40"/>
        <v>-546454.56919868186</v>
      </c>
      <c r="R59" s="189">
        <f t="shared" si="40"/>
        <v>-530466.48371103033</v>
      </c>
      <c r="S59" s="190">
        <f t="shared" si="40"/>
        <v>-515835.7866812803</v>
      </c>
      <c r="T59" s="109">
        <f t="shared" si="18"/>
        <v>-0.62185484884120856</v>
      </c>
      <c r="U59" s="104">
        <f t="shared" si="19"/>
        <v>-1.9141634738520132</v>
      </c>
      <c r="V59" s="104">
        <f t="shared" si="20"/>
        <v>-6.0358332345080701</v>
      </c>
      <c r="W59" s="104">
        <f t="shared" si="21"/>
        <v>-19.133356863348219</v>
      </c>
      <c r="X59" s="104">
        <f t="shared" si="22"/>
        <v>-60.695282488546134</v>
      </c>
      <c r="Y59" s="104">
        <f t="shared" si="23"/>
        <v>-192.51117890717575</v>
      </c>
      <c r="Z59" s="121">
        <f t="shared" si="24"/>
        <v>-0.62185484884120856</v>
      </c>
      <c r="AA59" s="104">
        <f t="shared" si="25"/>
        <v>-0.65607062168775543</v>
      </c>
      <c r="AB59" s="104">
        <f t="shared" si="26"/>
        <v>-0.69346082259098696</v>
      </c>
      <c r="AC59" s="104">
        <f t="shared" si="27"/>
        <v>-0.73431996465549476</v>
      </c>
      <c r="AD59" s="104">
        <f t="shared" si="28"/>
        <v>-0.77896988495328534</v>
      </c>
      <c r="AE59" s="122">
        <f t="shared" si="29"/>
        <v>-0.82776227955255366</v>
      </c>
      <c r="AF59" s="123">
        <f t="shared" si="30"/>
        <v>-0.62185484884120856</v>
      </c>
      <c r="AG59" s="104">
        <f t="shared" si="31"/>
        <v>-0.65607062168775543</v>
      </c>
      <c r="AH59" s="104">
        <f t="shared" si="32"/>
        <v>-0.69346082259098696</v>
      </c>
      <c r="AI59" s="104">
        <f t="shared" si="33"/>
        <v>-0.73431996465549476</v>
      </c>
      <c r="AJ59" s="104">
        <f t="shared" si="34"/>
        <v>-0.77896988495328534</v>
      </c>
      <c r="AK59" s="122">
        <f t="shared" si="35"/>
        <v>-0.82776227955255366</v>
      </c>
    </row>
    <row r="60" spans="1:37" x14ac:dyDescent="0.15">
      <c r="A60" s="112" t="s">
        <v>173</v>
      </c>
      <c r="B60" s="154"/>
      <c r="C60" s="155">
        <f>PreviousYearFigure+Additional.Div_Prfd</f>
        <v>0</v>
      </c>
      <c r="D60" s="155">
        <f>PreviousYearFigure+Additional.Div_Prfd</f>
        <v>0</v>
      </c>
      <c r="E60" s="155">
        <f>PreviousYearFigure+Additional.Div_Prfd</f>
        <v>0</v>
      </c>
      <c r="F60" s="155">
        <f>PreviousYearFigure+Additional.Div_Prfd</f>
        <v>0</v>
      </c>
      <c r="G60" s="155">
        <f>PreviousYearFigure+Additional.Div_Prfd</f>
        <v>0</v>
      </c>
      <c r="H60" s="191">
        <f>$B60</f>
        <v>0</v>
      </c>
      <c r="I60" s="155">
        <f>PreviousYearFigure+Additional.Div_Prfd</f>
        <v>0</v>
      </c>
      <c r="J60" s="155">
        <f>PreviousYearFigure+Additional.Div_Prfd</f>
        <v>0</v>
      </c>
      <c r="K60" s="155">
        <f>PreviousYearFigure+Additional.Div_Prfd</f>
        <v>0</v>
      </c>
      <c r="L60" s="155">
        <f>PreviousYearFigure+Additional.Div_Prfd</f>
        <v>0</v>
      </c>
      <c r="M60" s="192">
        <f>PreviousYearFigure+Additional.Div_Prfd</f>
        <v>0</v>
      </c>
      <c r="N60" s="191">
        <f>$B60</f>
        <v>0</v>
      </c>
      <c r="O60" s="155">
        <f>PreviousYearFigure+Additional.Div_Prfd</f>
        <v>0</v>
      </c>
      <c r="P60" s="155">
        <f>PreviousYearFigure+Additional.Div_Prfd</f>
        <v>0</v>
      </c>
      <c r="Q60" s="155">
        <f>PreviousYearFigure+Additional.Div_Prfd</f>
        <v>0</v>
      </c>
      <c r="R60" s="155">
        <f>PreviousYearFigure+Additional.Div_Prfd</f>
        <v>0</v>
      </c>
      <c r="S60" s="192">
        <f>PreviousYearFigure+Additional.Div_Prfd</f>
        <v>0</v>
      </c>
      <c r="T60" s="127">
        <f t="shared" si="18"/>
        <v>0</v>
      </c>
      <c r="U60" s="125">
        <f t="shared" si="19"/>
        <v>0</v>
      </c>
      <c r="V60" s="125">
        <f t="shared" si="20"/>
        <v>0</v>
      </c>
      <c r="W60" s="125">
        <f t="shared" si="21"/>
        <v>0</v>
      </c>
      <c r="X60" s="125">
        <f t="shared" si="22"/>
        <v>0</v>
      </c>
      <c r="Y60" s="125">
        <f t="shared" si="23"/>
        <v>0</v>
      </c>
      <c r="Z60" s="124">
        <f t="shared" si="24"/>
        <v>0</v>
      </c>
      <c r="AA60" s="125">
        <f t="shared" si="25"/>
        <v>0</v>
      </c>
      <c r="AB60" s="125">
        <f t="shared" si="26"/>
        <v>0</v>
      </c>
      <c r="AC60" s="125">
        <f t="shared" si="27"/>
        <v>0</v>
      </c>
      <c r="AD60" s="125">
        <f t="shared" si="28"/>
        <v>0</v>
      </c>
      <c r="AE60" s="126">
        <f t="shared" si="29"/>
        <v>0</v>
      </c>
      <c r="AF60" s="127">
        <f t="shared" si="30"/>
        <v>0</v>
      </c>
      <c r="AG60" s="125">
        <f t="shared" si="31"/>
        <v>0</v>
      </c>
      <c r="AH60" s="125">
        <f t="shared" si="32"/>
        <v>0</v>
      </c>
      <c r="AI60" s="125">
        <f t="shared" si="33"/>
        <v>0</v>
      </c>
      <c r="AJ60" s="125">
        <f t="shared" si="34"/>
        <v>0</v>
      </c>
      <c r="AK60" s="126">
        <f t="shared" si="35"/>
        <v>0</v>
      </c>
    </row>
    <row r="61" spans="1:37" ht="14" thickBot="1" x14ac:dyDescent="0.2">
      <c r="A61" s="112" t="s">
        <v>150</v>
      </c>
      <c r="B61" s="157">
        <f t="shared" ref="B61:S61" si="41">NI.B4Prfd-Dividends_Preferred</f>
        <v>-603882</v>
      </c>
      <c r="C61" s="158">
        <f t="shared" si="41"/>
        <v>-1701024.7778667423</v>
      </c>
      <c r="D61" s="158">
        <f t="shared" si="41"/>
        <v>-4908371.2363703949</v>
      </c>
      <c r="E61" s="158">
        <f t="shared" si="41"/>
        <v>-14238357.644260405</v>
      </c>
      <c r="F61" s="158">
        <f t="shared" si="41"/>
        <v>-41332551.747462712</v>
      </c>
      <c r="G61" s="158">
        <f t="shared" si="41"/>
        <v>-119966997.61458385</v>
      </c>
      <c r="H61" s="193">
        <f t="shared" si="41"/>
        <v>-603882</v>
      </c>
      <c r="I61" s="158">
        <f t="shared" si="41"/>
        <v>-583018.32563731633</v>
      </c>
      <c r="J61" s="158">
        <f t="shared" si="41"/>
        <v>-563925.97722802486</v>
      </c>
      <c r="K61" s="158">
        <f t="shared" si="41"/>
        <v>-546454.56919868186</v>
      </c>
      <c r="L61" s="158">
        <f t="shared" si="41"/>
        <v>-530466.48371103033</v>
      </c>
      <c r="M61" s="194">
        <f t="shared" si="41"/>
        <v>-515835.7866812803</v>
      </c>
      <c r="N61" s="193">
        <f t="shared" si="41"/>
        <v>-603882</v>
      </c>
      <c r="O61" s="158">
        <f t="shared" si="41"/>
        <v>-583018.32563731633</v>
      </c>
      <c r="P61" s="158">
        <f t="shared" si="41"/>
        <v>-563925.97722802486</v>
      </c>
      <c r="Q61" s="158">
        <f t="shared" si="41"/>
        <v>-546454.56919868186</v>
      </c>
      <c r="R61" s="158">
        <f t="shared" si="41"/>
        <v>-530466.48371103033</v>
      </c>
      <c r="S61" s="194">
        <f t="shared" si="41"/>
        <v>-515835.7866812803</v>
      </c>
      <c r="T61" s="131">
        <f t="shared" si="18"/>
        <v>-0.62185484884120856</v>
      </c>
      <c r="U61" s="129">
        <f t="shared" si="19"/>
        <v>-1.9141634738520132</v>
      </c>
      <c r="V61" s="129">
        <f t="shared" si="20"/>
        <v>-6.0358332345080701</v>
      </c>
      <c r="W61" s="129">
        <f t="shared" si="21"/>
        <v>-19.133356863348219</v>
      </c>
      <c r="X61" s="129">
        <f t="shared" si="22"/>
        <v>-60.695282488546134</v>
      </c>
      <c r="Y61" s="129">
        <f t="shared" si="23"/>
        <v>-192.51117890717575</v>
      </c>
      <c r="Z61" s="128">
        <f t="shared" si="24"/>
        <v>-0.62185484884120856</v>
      </c>
      <c r="AA61" s="129">
        <f t="shared" si="25"/>
        <v>-0.65607062168775543</v>
      </c>
      <c r="AB61" s="129">
        <f t="shared" si="26"/>
        <v>-0.69346082259098696</v>
      </c>
      <c r="AC61" s="129">
        <f t="shared" si="27"/>
        <v>-0.73431996465549476</v>
      </c>
      <c r="AD61" s="129">
        <f t="shared" si="28"/>
        <v>-0.77896988495328534</v>
      </c>
      <c r="AE61" s="130">
        <f t="shared" si="29"/>
        <v>-0.82776227955255366</v>
      </c>
      <c r="AF61" s="131">
        <f t="shared" si="30"/>
        <v>-0.62185484884120856</v>
      </c>
      <c r="AG61" s="129">
        <f t="shared" si="31"/>
        <v>-0.65607062168775543</v>
      </c>
      <c r="AH61" s="129">
        <f t="shared" si="32"/>
        <v>-0.69346082259098696</v>
      </c>
      <c r="AI61" s="129">
        <f t="shared" si="33"/>
        <v>-0.73431996465549476</v>
      </c>
      <c r="AJ61" s="129">
        <f t="shared" si="34"/>
        <v>-0.77896988495328534</v>
      </c>
      <c r="AK61" s="130">
        <f t="shared" si="35"/>
        <v>-0.82776227955255366</v>
      </c>
    </row>
    <row r="62" spans="1:37" ht="14" thickTop="1" x14ac:dyDescent="0.15">
      <c r="A62" s="112" t="s">
        <v>44</v>
      </c>
      <c r="B62" s="410">
        <f>'[1]Data From SEC'!B58</f>
        <v>46085</v>
      </c>
      <c r="C62" s="152">
        <f>(PreviousYearFigure*(1+DivGrowthRate))+Additional.Div_Common</f>
        <v>51518.421500000004</v>
      </c>
      <c r="D62" s="152">
        <f>(PreviousYearFigure*(1+DivGrowthRate))+Additional.Div_Common</f>
        <v>57592.443394850008</v>
      </c>
      <c r="E62" s="152">
        <f>(PreviousYearFigure*(1+DivGrowthRate))+Additional.Div_Common</f>
        <v>64382.592471102827</v>
      </c>
      <c r="F62" s="152">
        <f>(PreviousYearFigure*(1+DivGrowthRate))+Additional.Div_Common</f>
        <v>71973.300123445864</v>
      </c>
      <c r="G62" s="152">
        <f>(PreviousYearFigure*(1+DivGrowthRate))+Additional.Div_Common</f>
        <v>80458.952208000133</v>
      </c>
      <c r="H62" s="188">
        <f>$B62</f>
        <v>46085</v>
      </c>
      <c r="I62" s="189">
        <f>(PreviousYearFigure*(1+DivGrowthRate))+Additional.Div_Common</f>
        <v>51518.421500000004</v>
      </c>
      <c r="J62" s="189">
        <f>(PreviousYearFigure*(1+DivGrowthRate))+Additional.Div_Common</f>
        <v>57592.443394850008</v>
      </c>
      <c r="K62" s="189">
        <f>(PreviousYearFigure*(1+DivGrowthRate))+Additional.Div_Common</f>
        <v>64382.592471102827</v>
      </c>
      <c r="L62" s="189">
        <f>(PreviousYearFigure*(1+DivGrowthRate))+Additional.Div_Common</f>
        <v>71973.300123445864</v>
      </c>
      <c r="M62" s="190">
        <f>(PreviousYearFigure*(1+DivGrowthRate))+Additional.Div_Common</f>
        <v>80458.952208000133</v>
      </c>
      <c r="N62" s="188">
        <f>$B62</f>
        <v>46085</v>
      </c>
      <c r="O62" s="189">
        <f>(PreviousYearFigure*(1+DivGrowthRate))+Additional.Div_Common</f>
        <v>51518.421500000004</v>
      </c>
      <c r="P62" s="189">
        <f>(PreviousYearFigure*(1+DivGrowthRate))+Additional.Div_Common</f>
        <v>57592.443394850008</v>
      </c>
      <c r="Q62" s="189">
        <f>(PreviousYearFigure*(1+DivGrowthRate))+Additional.Div_Common</f>
        <v>64382.592471102827</v>
      </c>
      <c r="R62" s="189">
        <f>(PreviousYearFigure*(1+DivGrowthRate))+Additional.Div_Common</f>
        <v>71973.300123445864</v>
      </c>
      <c r="S62" s="190">
        <f>(PreviousYearFigure*(1+DivGrowthRate))+Additional.Div_Common</f>
        <v>80458.952208000133</v>
      </c>
      <c r="T62" s="109">
        <f t="shared" si="18"/>
        <v>4.7456590375018794E-2</v>
      </c>
      <c r="U62" s="104">
        <f t="shared" si="19"/>
        <v>5.7973688537027113E-2</v>
      </c>
      <c r="V62" s="104">
        <f t="shared" si="20"/>
        <v>7.0821534712646281E-2</v>
      </c>
      <c r="W62" s="104">
        <f t="shared" si="21"/>
        <v>8.6516657911995712E-2</v>
      </c>
      <c r="X62" s="104">
        <f t="shared" si="22"/>
        <v>0.10569005778583765</v>
      </c>
      <c r="Y62" s="104">
        <f t="shared" si="23"/>
        <v>0.1291125730508009</v>
      </c>
      <c r="Z62" s="121">
        <f t="shared" si="24"/>
        <v>4.7456590375018794E-2</v>
      </c>
      <c r="AA62" s="104">
        <f t="shared" si="25"/>
        <v>5.7973688537027113E-2</v>
      </c>
      <c r="AB62" s="104">
        <f t="shared" si="26"/>
        <v>7.0821534712646281E-2</v>
      </c>
      <c r="AC62" s="104">
        <f t="shared" si="27"/>
        <v>8.6516657911995712E-2</v>
      </c>
      <c r="AD62" s="104">
        <f t="shared" si="28"/>
        <v>0.10569005778583765</v>
      </c>
      <c r="AE62" s="122">
        <f t="shared" si="29"/>
        <v>0.1291125730508009</v>
      </c>
      <c r="AF62" s="123">
        <f t="shared" si="30"/>
        <v>4.7456590375018794E-2</v>
      </c>
      <c r="AG62" s="104">
        <f t="shared" si="31"/>
        <v>5.7973688537027113E-2</v>
      </c>
      <c r="AH62" s="104">
        <f t="shared" si="32"/>
        <v>7.0821534712646281E-2</v>
      </c>
      <c r="AI62" s="104">
        <f t="shared" si="33"/>
        <v>8.6516657911995712E-2</v>
      </c>
      <c r="AJ62" s="104">
        <f t="shared" si="34"/>
        <v>0.10569005778583765</v>
      </c>
      <c r="AK62" s="122">
        <f t="shared" si="35"/>
        <v>0.1291125730508009</v>
      </c>
    </row>
    <row r="63" spans="1:37" x14ac:dyDescent="0.15">
      <c r="A63" s="112" t="s">
        <v>45</v>
      </c>
      <c r="B63" s="153">
        <f>NetIncome-Dividends_Common</f>
        <v>-649967</v>
      </c>
      <c r="C63" s="152">
        <f t="shared" ref="C63:S63" si="42">NetIncome-Dividends_Common</f>
        <v>-1752543.1993667423</v>
      </c>
      <c r="D63" s="152">
        <f t="shared" si="42"/>
        <v>-4965963.6797652449</v>
      </c>
      <c r="E63" s="152">
        <f t="shared" si="42"/>
        <v>-14302740.236731507</v>
      </c>
      <c r="F63" s="152">
        <f t="shared" si="42"/>
        <v>-41404525.047586158</v>
      </c>
      <c r="G63" s="152">
        <f t="shared" si="42"/>
        <v>-120047456.56679185</v>
      </c>
      <c r="H63" s="188">
        <f t="shared" si="42"/>
        <v>-649967</v>
      </c>
      <c r="I63" s="189">
        <f t="shared" si="42"/>
        <v>-634536.74713731639</v>
      </c>
      <c r="J63" s="189">
        <f t="shared" si="42"/>
        <v>-621518.42062287487</v>
      </c>
      <c r="K63" s="189">
        <f t="shared" si="42"/>
        <v>-610837.16166978469</v>
      </c>
      <c r="L63" s="189">
        <f t="shared" si="42"/>
        <v>-602439.78383447626</v>
      </c>
      <c r="M63" s="190">
        <f t="shared" si="42"/>
        <v>-596294.73888928047</v>
      </c>
      <c r="N63" s="188">
        <f t="shared" si="42"/>
        <v>-649967</v>
      </c>
      <c r="O63" s="189">
        <f t="shared" si="42"/>
        <v>-634536.74713731639</v>
      </c>
      <c r="P63" s="189">
        <f t="shared" si="42"/>
        <v>-621518.42062287487</v>
      </c>
      <c r="Q63" s="189">
        <f t="shared" si="42"/>
        <v>-610837.16166978469</v>
      </c>
      <c r="R63" s="189">
        <f t="shared" si="42"/>
        <v>-602439.78383447626</v>
      </c>
      <c r="S63" s="190">
        <f t="shared" si="42"/>
        <v>-596294.73888928047</v>
      </c>
      <c r="T63" s="109">
        <f t="shared" si="18"/>
        <v>-0.66931143921622738</v>
      </c>
      <c r="U63" s="104">
        <f t="shared" si="19"/>
        <v>-1.9721371623890402</v>
      </c>
      <c r="V63" s="104">
        <f t="shared" si="20"/>
        <v>-6.1066547692207163</v>
      </c>
      <c r="W63" s="104">
        <f t="shared" si="21"/>
        <v>-19.219873521260212</v>
      </c>
      <c r="X63" s="104">
        <f t="shared" si="22"/>
        <v>-60.80097254633197</v>
      </c>
      <c r="Y63" s="104">
        <f t="shared" si="23"/>
        <v>-192.64029148022652</v>
      </c>
      <c r="Z63" s="121">
        <f t="shared" si="24"/>
        <v>-0.66931143921622738</v>
      </c>
      <c r="AA63" s="104">
        <f t="shared" si="25"/>
        <v>-0.71404431022478254</v>
      </c>
      <c r="AB63" s="104">
        <f t="shared" si="26"/>
        <v>-0.76428235730363325</v>
      </c>
      <c r="AC63" s="104">
        <f t="shared" si="27"/>
        <v>-0.82083662256749046</v>
      </c>
      <c r="AD63" s="104">
        <f t="shared" si="28"/>
        <v>-0.88465994273912307</v>
      </c>
      <c r="AE63" s="122">
        <f t="shared" si="29"/>
        <v>-0.95687485260335459</v>
      </c>
      <c r="AF63" s="123">
        <f t="shared" si="30"/>
        <v>-0.66931143921622738</v>
      </c>
      <c r="AG63" s="104">
        <f t="shared" si="31"/>
        <v>-0.71404431022478254</v>
      </c>
      <c r="AH63" s="104">
        <f t="shared" si="32"/>
        <v>-0.76428235730363325</v>
      </c>
      <c r="AI63" s="104">
        <f t="shared" si="33"/>
        <v>-0.82083662256749046</v>
      </c>
      <c r="AJ63" s="104">
        <f t="shared" si="34"/>
        <v>-0.88465994273912307</v>
      </c>
      <c r="AK63" s="122">
        <f t="shared" si="35"/>
        <v>-0.95687485260335459</v>
      </c>
    </row>
    <row r="64" spans="1:37" x14ac:dyDescent="0.15">
      <c r="A64" s="112" t="s">
        <v>46</v>
      </c>
      <c r="B64" s="152">
        <f t="shared" ref="B64:S64" si="43">NetIncome/No.Of.Shares</f>
        <v>-20.261776942692258</v>
      </c>
      <c r="C64" s="152">
        <f t="shared" si="43"/>
        <v>-29.687624972398844</v>
      </c>
      <c r="D64" s="152">
        <f t="shared" si="43"/>
        <v>-35.921829331299513</v>
      </c>
      <c r="E64" s="152">
        <f t="shared" si="43"/>
        <v>-38.848675467084732</v>
      </c>
      <c r="F64" s="152">
        <f t="shared" si="43"/>
        <v>-40.004880002707147</v>
      </c>
      <c r="G64" s="190">
        <f t="shared" si="43"/>
        <v>-40.429885840837812</v>
      </c>
      <c r="H64" s="189">
        <f t="shared" si="43"/>
        <v>-20.261776942692258</v>
      </c>
      <c r="I64" s="189">
        <f t="shared" si="43"/>
        <v>-19.561747605600466</v>
      </c>
      <c r="J64" s="189">
        <f t="shared" si="43"/>
        <v>-18.921150759227782</v>
      </c>
      <c r="K64" s="189">
        <f t="shared" si="43"/>
        <v>-18.334940585112129</v>
      </c>
      <c r="L64" s="189">
        <f t="shared" si="43"/>
        <v>-17.798499654778901</v>
      </c>
      <c r="M64" s="190">
        <f t="shared" si="43"/>
        <v>-17.307602559430958</v>
      </c>
      <c r="N64" s="189">
        <f t="shared" si="43"/>
        <v>-20.261776942692258</v>
      </c>
      <c r="O64" s="189">
        <f t="shared" si="43"/>
        <v>-19.561747605600466</v>
      </c>
      <c r="P64" s="189">
        <f t="shared" si="43"/>
        <v>-18.921150759227782</v>
      </c>
      <c r="Q64" s="189">
        <f t="shared" si="43"/>
        <v>-18.334940585112129</v>
      </c>
      <c r="R64" s="189">
        <f t="shared" si="43"/>
        <v>-17.798499654778901</v>
      </c>
      <c r="S64" s="190">
        <f t="shared" si="43"/>
        <v>-17.307602559430958</v>
      </c>
      <c r="T64" s="184"/>
      <c r="U64" s="114"/>
      <c r="V64" s="114"/>
      <c r="W64" s="114"/>
      <c r="X64" s="114"/>
      <c r="Y64" s="114"/>
      <c r="Z64" s="132"/>
      <c r="AA64" s="114"/>
      <c r="AB64" s="114"/>
      <c r="AC64" s="114"/>
      <c r="AD64" s="114"/>
      <c r="AE64" s="133"/>
      <c r="AF64" s="113"/>
      <c r="AG64" s="114"/>
      <c r="AH64" s="114"/>
      <c r="AI64" s="114"/>
      <c r="AJ64" s="114"/>
      <c r="AK64" s="133"/>
    </row>
    <row r="65" spans="1:46" x14ac:dyDescent="0.15">
      <c r="A65" s="112" t="s">
        <v>47</v>
      </c>
      <c r="B65" s="152">
        <f t="shared" ref="B65:G65" si="44">Dividends_Common/No.Of.Shares</f>
        <v>1.5462689571869548</v>
      </c>
      <c r="C65" s="152">
        <f t="shared" si="44"/>
        <v>0.89914009282102703</v>
      </c>
      <c r="D65" s="152">
        <f t="shared" si="44"/>
        <v>0.42148929304136534</v>
      </c>
      <c r="E65" s="152">
        <f t="shared" si="44"/>
        <v>0.17566481353610972</v>
      </c>
      <c r="F65" s="152">
        <f t="shared" si="44"/>
        <v>6.9661395512896934E-2</v>
      </c>
      <c r="G65" s="190">
        <f t="shared" si="44"/>
        <v>2.7115342696943722E-2</v>
      </c>
      <c r="H65" s="189">
        <f>DPS</f>
        <v>1.5462689571869548</v>
      </c>
      <c r="I65" s="189">
        <f>Dividends_Common/No.Of.Shares</f>
        <v>1.7285740672392969</v>
      </c>
      <c r="J65" s="189">
        <f>Dividends_Common/No.Of.Shares</f>
        <v>1.9323729497668101</v>
      </c>
      <c r="K65" s="189">
        <f>Dividends_Common/No.Of.Shares</f>
        <v>2.1601997205443171</v>
      </c>
      <c r="L65" s="189">
        <f>Dividends_Common/No.Of.Shares</f>
        <v>2.4148872675964927</v>
      </c>
      <c r="M65" s="190">
        <f>Dividends_Common/No.Of.Shares</f>
        <v>2.6996024764461191</v>
      </c>
      <c r="N65" s="189">
        <f>DPS</f>
        <v>1.5462689571869548</v>
      </c>
      <c r="O65" s="189">
        <f>Dividends_Common/No.Of.Shares</f>
        <v>1.7285740672392969</v>
      </c>
      <c r="P65" s="189">
        <f>Dividends_Common/No.Of.Shares</f>
        <v>1.9323729497668101</v>
      </c>
      <c r="Q65" s="189">
        <f>Dividends_Common/No.Of.Shares</f>
        <v>2.1601997205443171</v>
      </c>
      <c r="R65" s="189">
        <f>Dividends_Common/No.Of.Shares</f>
        <v>2.4148872675964927</v>
      </c>
      <c r="S65" s="190">
        <f>Dividends_Common/No.Of.Shares</f>
        <v>2.6996024764461191</v>
      </c>
      <c r="T65" s="187"/>
      <c r="Z65" s="118"/>
      <c r="AE65" s="119"/>
      <c r="AK65" s="119"/>
    </row>
    <row r="66" spans="1:46" x14ac:dyDescent="0.15">
      <c r="B66" s="296"/>
      <c r="C66" s="297"/>
      <c r="D66" s="297"/>
      <c r="E66" s="297"/>
      <c r="F66" s="297"/>
      <c r="G66" s="297"/>
      <c r="H66" s="232"/>
      <c r="I66" s="298"/>
      <c r="J66" s="298"/>
      <c r="K66" s="298"/>
      <c r="L66" s="298"/>
      <c r="M66" s="299"/>
      <c r="N66" s="232"/>
      <c r="O66" s="298"/>
      <c r="P66" s="298"/>
      <c r="Q66" s="298"/>
      <c r="R66" s="298"/>
      <c r="S66" s="299"/>
      <c r="T66" s="300"/>
      <c r="U66" s="301"/>
      <c r="V66" s="301"/>
      <c r="W66" s="301"/>
      <c r="X66" s="301"/>
      <c r="Y66" s="301"/>
      <c r="Z66" s="302"/>
      <c r="AA66" s="301"/>
      <c r="AB66" s="301"/>
      <c r="AC66" s="301"/>
      <c r="AD66" s="301"/>
      <c r="AE66" s="303"/>
      <c r="AF66" s="301"/>
      <c r="AG66" s="301"/>
      <c r="AH66" s="301"/>
      <c r="AI66" s="301"/>
      <c r="AJ66" s="301"/>
      <c r="AK66" s="303"/>
      <c r="AL66" s="235"/>
      <c r="AM66" s="235"/>
      <c r="AN66" s="235"/>
      <c r="AO66" s="235"/>
      <c r="AP66" s="235"/>
      <c r="AQ66" s="235"/>
      <c r="AR66" s="235"/>
      <c r="AS66" s="235"/>
      <c r="AT66" s="235"/>
    </row>
    <row r="67" spans="1:46" x14ac:dyDescent="0.15">
      <c r="A67" s="134" t="s">
        <v>164</v>
      </c>
      <c r="B67" s="296"/>
      <c r="C67" s="296"/>
      <c r="D67" s="296"/>
      <c r="E67" s="296"/>
      <c r="F67" s="296"/>
      <c r="G67" s="296"/>
      <c r="H67" s="232"/>
      <c r="I67" s="233"/>
      <c r="J67" s="233"/>
      <c r="K67" s="233"/>
      <c r="L67" s="233"/>
      <c r="M67" s="234"/>
      <c r="N67" s="232"/>
      <c r="O67" s="233"/>
      <c r="P67" s="233"/>
      <c r="Q67" s="233"/>
      <c r="R67" s="233"/>
      <c r="S67" s="234"/>
      <c r="T67" s="294"/>
      <c r="U67" s="304"/>
      <c r="V67" s="304"/>
      <c r="W67" s="304"/>
      <c r="X67" s="304"/>
      <c r="Y67" s="304"/>
      <c r="Z67" s="293"/>
      <c r="AA67" s="304"/>
      <c r="AB67" s="304"/>
      <c r="AC67" s="304"/>
      <c r="AD67" s="304"/>
      <c r="AE67" s="305"/>
      <c r="AF67" s="292"/>
      <c r="AG67" s="304"/>
      <c r="AH67" s="304"/>
      <c r="AI67" s="304"/>
      <c r="AJ67" s="304"/>
      <c r="AK67" s="305"/>
      <c r="AL67" s="235"/>
      <c r="AM67" s="235"/>
      <c r="AN67" s="235"/>
      <c r="AO67" s="235"/>
      <c r="AP67" s="235"/>
      <c r="AQ67" s="235"/>
      <c r="AR67" s="235"/>
      <c r="AS67" s="235"/>
      <c r="AT67" s="235"/>
    </row>
    <row r="68" spans="1:46" x14ac:dyDescent="0.15">
      <c r="A68" s="135" t="s">
        <v>48</v>
      </c>
      <c r="B68" s="296"/>
      <c r="C68" s="231"/>
      <c r="D68" s="231"/>
      <c r="E68" s="231"/>
      <c r="F68" s="231"/>
      <c r="G68" s="231"/>
      <c r="H68" s="232"/>
      <c r="I68" s="233"/>
      <c r="J68" s="233"/>
      <c r="K68" s="233"/>
      <c r="L68" s="233"/>
      <c r="M68" s="234"/>
      <c r="N68" s="232"/>
      <c r="O68" s="233"/>
      <c r="P68" s="233"/>
      <c r="Q68" s="233"/>
      <c r="R68" s="233"/>
      <c r="S68" s="234"/>
      <c r="T68" s="294"/>
      <c r="U68" s="304"/>
      <c r="V68" s="304"/>
      <c r="W68" s="304"/>
      <c r="X68" s="304"/>
      <c r="Y68" s="304"/>
      <c r="Z68" s="293"/>
      <c r="AA68" s="304"/>
      <c r="AB68" s="304"/>
      <c r="AC68" s="304"/>
      <c r="AD68" s="304"/>
      <c r="AE68" s="305"/>
      <c r="AF68" s="292"/>
      <c r="AG68" s="304"/>
      <c r="AH68" s="304"/>
      <c r="AI68" s="304"/>
      <c r="AJ68" s="304"/>
      <c r="AK68" s="305"/>
      <c r="AL68" s="235"/>
      <c r="AM68" s="235"/>
      <c r="AN68" s="235"/>
      <c r="AO68" s="235"/>
      <c r="AP68" s="235"/>
      <c r="AQ68" s="235"/>
      <c r="AR68" s="235"/>
      <c r="AS68" s="235"/>
      <c r="AT68" s="235"/>
    </row>
    <row r="69" spans="1:46" x14ac:dyDescent="0.15">
      <c r="A69" s="112" t="s">
        <v>151</v>
      </c>
      <c r="B69" s="410">
        <v>46085</v>
      </c>
      <c r="C69" s="152">
        <f>Sales*Percent.of.sales_Cash</f>
        <v>42172.383500000004</v>
      </c>
      <c r="D69" s="152">
        <f>Sales*Percent.of.sales_Cash</f>
        <v>38591.94814085</v>
      </c>
      <c r="E69" s="152">
        <f>Sales*Percent.of.sales_Cash</f>
        <v>35315.49174369184</v>
      </c>
      <c r="F69" s="152">
        <f>Sales*Percent.of.sales_Cash</f>
        <v>32317.206494652401</v>
      </c>
      <c r="G69" s="152">
        <f>Sales*Percent.of.sales_Cash</f>
        <v>29573.475663256409</v>
      </c>
      <c r="H69" s="188">
        <f>$B69</f>
        <v>46085</v>
      </c>
      <c r="I69" s="189">
        <f>Sales*Percent.of.sales_Cash</f>
        <v>42172.383500000004</v>
      </c>
      <c r="J69" s="189">
        <f>Sales*Percent.of.sales_Cash</f>
        <v>38591.94814085</v>
      </c>
      <c r="K69" s="189">
        <f>Sales*Percent.of.sales_Cash</f>
        <v>35315.49174369184</v>
      </c>
      <c r="L69" s="189">
        <f>Sales*Percent.of.sales_Cash</f>
        <v>32317.206494652401</v>
      </c>
      <c r="M69" s="190">
        <f>Sales*Percent.of.sales_Cash</f>
        <v>29573.475663256409</v>
      </c>
      <c r="N69" s="188">
        <f>$B69</f>
        <v>46085</v>
      </c>
      <c r="O69" s="189">
        <f>Sales*Percent.of.sales_Cash</f>
        <v>42172.383500000004</v>
      </c>
      <c r="P69" s="189">
        <f>Sales*Percent.of.sales_Cash</f>
        <v>38591.94814085</v>
      </c>
      <c r="Q69" s="189">
        <f>Sales*Percent.of.sales_Cash</f>
        <v>35315.49174369184</v>
      </c>
      <c r="R69" s="189">
        <f>Sales*Percent.of.sales_Cash</f>
        <v>32317.206494652401</v>
      </c>
      <c r="S69" s="190">
        <f>Sales*Percent.of.sales_Cash</f>
        <v>29573.475663256409</v>
      </c>
      <c r="T69" s="109">
        <f t="shared" ref="T69:T78" si="45">B69/B$49</f>
        <v>4.7456590375018794E-2</v>
      </c>
      <c r="U69" s="104">
        <f t="shared" ref="U69:U78" si="46">C69/C$49</f>
        <v>4.7456590375018794E-2</v>
      </c>
      <c r="V69" s="104">
        <f t="shared" ref="V69:V78" si="47">D69/D$49</f>
        <v>4.7456590375018787E-2</v>
      </c>
      <c r="W69" s="104">
        <f t="shared" ref="W69:W78" si="48">E69/E$49</f>
        <v>4.7456590375018794E-2</v>
      </c>
      <c r="X69" s="104">
        <f t="shared" ref="X69:X78" si="49">F69/F$49</f>
        <v>4.7456590375018794E-2</v>
      </c>
      <c r="Y69" s="104">
        <f t="shared" ref="Y69:Y78" si="50">G69/G$49</f>
        <v>4.7456590375018794E-2</v>
      </c>
      <c r="Z69" s="121">
        <f t="shared" ref="Z69:Z78" si="51">H69/H$49</f>
        <v>4.7456590375018794E-2</v>
      </c>
      <c r="AA69" s="104">
        <f t="shared" ref="AA69:AA78" si="52">I69/I$49</f>
        <v>4.7456590375018794E-2</v>
      </c>
      <c r="AB69" s="104">
        <f t="shared" ref="AB69:AB78" si="53">J69/J$49</f>
        <v>4.7456590375018787E-2</v>
      </c>
      <c r="AC69" s="104">
        <f t="shared" ref="AC69:AC78" si="54">K69/K$49</f>
        <v>4.7456590375018794E-2</v>
      </c>
      <c r="AD69" s="104">
        <f t="shared" ref="AD69:AD78" si="55">L69/L$49</f>
        <v>4.7456590375018794E-2</v>
      </c>
      <c r="AE69" s="122">
        <f t="shared" ref="AE69:AE78" si="56">M69/M$49</f>
        <v>4.7456590375018794E-2</v>
      </c>
      <c r="AF69" s="123">
        <f t="shared" ref="AF69:AF78" si="57">N69/N$49</f>
        <v>4.7456590375018794E-2</v>
      </c>
      <c r="AG69" s="104">
        <f t="shared" ref="AG69:AG78" si="58">O69/O$49</f>
        <v>4.7456590375018794E-2</v>
      </c>
      <c r="AH69" s="104">
        <f t="shared" ref="AH69:AH78" si="59">P69/P$49</f>
        <v>4.7456590375018787E-2</v>
      </c>
      <c r="AI69" s="104">
        <f t="shared" ref="AI69:AI78" si="60">Q69/Q$49</f>
        <v>4.7456590375018794E-2</v>
      </c>
      <c r="AJ69" s="104">
        <f t="shared" ref="AJ69:AJ78" si="61">R69/R$49</f>
        <v>4.7456590375018794E-2</v>
      </c>
      <c r="AK69" s="122">
        <f t="shared" ref="AK69:AK78" si="62">S69/S$49</f>
        <v>4.7456590375018794E-2</v>
      </c>
    </row>
    <row r="70" spans="1:46" s="136" customFormat="1" x14ac:dyDescent="0.15">
      <c r="A70" s="112" t="s">
        <v>152</v>
      </c>
      <c r="B70" s="410"/>
      <c r="C70" s="231">
        <f>PreviousYearFigure+PlugInToSTInvestments</f>
        <v>0</v>
      </c>
      <c r="D70" s="231">
        <f>PreviousYearFigure+PlugInToSTInvestments</f>
        <v>0</v>
      </c>
      <c r="E70" s="231">
        <f>PreviousYearFigure+PlugInToSTInvestments</f>
        <v>0</v>
      </c>
      <c r="F70" s="231">
        <f>PreviousYearFigure+PlugInToSTInvestments</f>
        <v>0</v>
      </c>
      <c r="G70" s="231">
        <f>PreviousYearFigure+PlugInToSTInvestments</f>
        <v>0</v>
      </c>
      <c r="H70" s="232">
        <f>$B70</f>
        <v>0</v>
      </c>
      <c r="I70" s="233">
        <f>PreviousYearFigure+PlugInToSTInvestments</f>
        <v>0</v>
      </c>
      <c r="J70" s="233">
        <f>PreviousYearFigure+PlugInToSTInvestments</f>
        <v>0</v>
      </c>
      <c r="K70" s="233">
        <f>PreviousYearFigure+PlugInToSTInvestments</f>
        <v>0</v>
      </c>
      <c r="L70" s="233">
        <f>PreviousYearFigure+PlugInToSTInvestments</f>
        <v>0</v>
      </c>
      <c r="M70" s="234">
        <f>PreviousYearFigure+PlugInToSTInvestments</f>
        <v>0</v>
      </c>
      <c r="N70" s="232">
        <f>$B70</f>
        <v>0</v>
      </c>
      <c r="O70" s="233">
        <f>PreviousYearFigure+PlugInToSTInvestments</f>
        <v>0</v>
      </c>
      <c r="P70" s="233">
        <f>PreviousYearFigure+PlugInToSTInvestments</f>
        <v>0</v>
      </c>
      <c r="Q70" s="233">
        <f>PreviousYearFigure+PlugInToSTInvestments</f>
        <v>0</v>
      </c>
      <c r="R70" s="233">
        <f>PreviousYearFigure+PlugInToSTInvestments</f>
        <v>0</v>
      </c>
      <c r="S70" s="234">
        <f>PreviousYearFigure+PlugInToSTInvestments</f>
        <v>0</v>
      </c>
      <c r="T70" s="109">
        <f t="shared" ref="T70:AK70" si="63">B70/B$49</f>
        <v>0</v>
      </c>
      <c r="U70" s="104">
        <f t="shared" si="63"/>
        <v>0</v>
      </c>
      <c r="V70" s="104">
        <f t="shared" si="63"/>
        <v>0</v>
      </c>
      <c r="W70" s="104">
        <f t="shared" si="63"/>
        <v>0</v>
      </c>
      <c r="X70" s="104">
        <f t="shared" si="63"/>
        <v>0</v>
      </c>
      <c r="Y70" s="104">
        <f t="shared" si="63"/>
        <v>0</v>
      </c>
      <c r="Z70" s="121">
        <f t="shared" si="63"/>
        <v>0</v>
      </c>
      <c r="AA70" s="104">
        <f t="shared" si="63"/>
        <v>0</v>
      </c>
      <c r="AB70" s="104">
        <f t="shared" si="63"/>
        <v>0</v>
      </c>
      <c r="AC70" s="104">
        <f t="shared" si="63"/>
        <v>0</v>
      </c>
      <c r="AD70" s="104">
        <f t="shared" si="63"/>
        <v>0</v>
      </c>
      <c r="AE70" s="122">
        <f t="shared" si="63"/>
        <v>0</v>
      </c>
      <c r="AF70" s="123">
        <f t="shared" si="63"/>
        <v>0</v>
      </c>
      <c r="AG70" s="104">
        <f t="shared" si="63"/>
        <v>0</v>
      </c>
      <c r="AH70" s="104">
        <f t="shared" si="63"/>
        <v>0</v>
      </c>
      <c r="AI70" s="104">
        <f t="shared" si="63"/>
        <v>0</v>
      </c>
      <c r="AJ70" s="104">
        <f t="shared" si="63"/>
        <v>0</v>
      </c>
      <c r="AK70" s="122">
        <f t="shared" si="63"/>
        <v>0</v>
      </c>
    </row>
    <row r="71" spans="1:46" x14ac:dyDescent="0.15">
      <c r="A71" s="112" t="s">
        <v>49</v>
      </c>
      <c r="B71" s="410">
        <v>105414</v>
      </c>
      <c r="C71" s="152">
        <f>Sales*Percent.of.sales_AR</f>
        <v>96464.351400000014</v>
      </c>
      <c r="D71" s="152">
        <f>Sales*Percent.of.sales_AR</f>
        <v>88274.527966140013</v>
      </c>
      <c r="E71" s="152">
        <f>Sales*Percent.of.sales_AR</f>
        <v>80780.020541814723</v>
      </c>
      <c r="F71" s="152">
        <f>Sales*Percent.of.sales_AR</f>
        <v>73921.796797814648</v>
      </c>
      <c r="G71" s="152">
        <f>Sales*Percent.of.sales_AR</f>
        <v>67645.836249680186</v>
      </c>
      <c r="H71" s="188">
        <f>$B71</f>
        <v>105414</v>
      </c>
      <c r="I71" s="189">
        <f>Sales*Percent.of.sales_AR</f>
        <v>96464.351400000014</v>
      </c>
      <c r="J71" s="189">
        <f>Sales*Percent.of.sales_AR</f>
        <v>88274.527966140013</v>
      </c>
      <c r="K71" s="189">
        <f>Sales*Percent.of.sales_AR</f>
        <v>80780.020541814723</v>
      </c>
      <c r="L71" s="189">
        <f>Sales*Percent.of.sales_AR</f>
        <v>73921.796797814648</v>
      </c>
      <c r="M71" s="190">
        <f>Sales*Percent.of.sales_AR</f>
        <v>67645.836249680186</v>
      </c>
      <c r="N71" s="188">
        <f>$B71</f>
        <v>105414</v>
      </c>
      <c r="O71" s="189">
        <f>Sales*Percent.of.sales_AR</f>
        <v>96464.351400000014</v>
      </c>
      <c r="P71" s="189">
        <f>Sales*Percent.of.sales_AR</f>
        <v>88274.527966140013</v>
      </c>
      <c r="Q71" s="189">
        <f>Sales*Percent.of.sales_AR</f>
        <v>80780.020541814723</v>
      </c>
      <c r="R71" s="189">
        <f>Sales*Percent.of.sales_AR</f>
        <v>73921.796797814648</v>
      </c>
      <c r="S71" s="190">
        <f>Sales*Percent.of.sales_AR</f>
        <v>67645.836249680186</v>
      </c>
      <c r="T71" s="109">
        <f t="shared" si="45"/>
        <v>0.1085513511509652</v>
      </c>
      <c r="U71" s="104">
        <f t="shared" si="46"/>
        <v>0.1085513511509652</v>
      </c>
      <c r="V71" s="104">
        <f t="shared" si="47"/>
        <v>0.1085513511509652</v>
      </c>
      <c r="W71" s="104">
        <f t="shared" si="48"/>
        <v>0.1085513511509652</v>
      </c>
      <c r="X71" s="104">
        <f t="shared" si="49"/>
        <v>0.10855135115096519</v>
      </c>
      <c r="Y71" s="104">
        <f t="shared" si="50"/>
        <v>0.1085513511509652</v>
      </c>
      <c r="Z71" s="121">
        <f t="shared" si="51"/>
        <v>0.1085513511509652</v>
      </c>
      <c r="AA71" s="104">
        <f t="shared" si="52"/>
        <v>0.1085513511509652</v>
      </c>
      <c r="AB71" s="104">
        <f t="shared" si="53"/>
        <v>0.1085513511509652</v>
      </c>
      <c r="AC71" s="104">
        <f t="shared" si="54"/>
        <v>0.1085513511509652</v>
      </c>
      <c r="AD71" s="104">
        <f t="shared" si="55"/>
        <v>0.10855135115096519</v>
      </c>
      <c r="AE71" s="122">
        <f t="shared" si="56"/>
        <v>0.1085513511509652</v>
      </c>
      <c r="AF71" s="123">
        <f t="shared" si="57"/>
        <v>0.1085513511509652</v>
      </c>
      <c r="AG71" s="104">
        <f t="shared" si="58"/>
        <v>0.1085513511509652</v>
      </c>
      <c r="AH71" s="104">
        <f t="shared" si="59"/>
        <v>0.1085513511509652</v>
      </c>
      <c r="AI71" s="104">
        <f t="shared" si="60"/>
        <v>0.1085513511509652</v>
      </c>
      <c r="AJ71" s="104">
        <f t="shared" si="61"/>
        <v>0.10855135115096519</v>
      </c>
      <c r="AK71" s="122">
        <f t="shared" si="62"/>
        <v>0.1085513511509652</v>
      </c>
    </row>
    <row r="72" spans="1:46" x14ac:dyDescent="0.15">
      <c r="A72" s="112" t="s">
        <v>50</v>
      </c>
      <c r="B72" s="410">
        <v>240740</v>
      </c>
      <c r="C72" s="152">
        <f>Sales*Percent.of.sales_Inventory</f>
        <v>220301.174</v>
      </c>
      <c r="D72" s="152">
        <f>Sales*Percent.of.sales_Inventory</f>
        <v>201597.60432740001</v>
      </c>
      <c r="E72" s="152">
        <f>Sales*Percent.of.sales_Inventory</f>
        <v>184481.96772000377</v>
      </c>
      <c r="F72" s="152">
        <f>Sales*Percent.of.sales_Inventory</f>
        <v>168819.44866057544</v>
      </c>
      <c r="G72" s="152">
        <f>Sales*Percent.of.sales_Inventory</f>
        <v>154486.67746929257</v>
      </c>
      <c r="H72" s="188">
        <f>$B72</f>
        <v>240740</v>
      </c>
      <c r="I72" s="189">
        <f>Sales*Percent.of.sales_Inventory</f>
        <v>220301.174</v>
      </c>
      <c r="J72" s="189">
        <f>Sales*Percent.of.sales_Inventory</f>
        <v>201597.60432740001</v>
      </c>
      <c r="K72" s="189">
        <f>Sales*Percent.of.sales_Inventory</f>
        <v>184481.96772000377</v>
      </c>
      <c r="L72" s="189">
        <f>Sales*Percent.of.sales_Inventory</f>
        <v>168819.44866057544</v>
      </c>
      <c r="M72" s="190">
        <f>Sales*Percent.of.sales_Inventory</f>
        <v>154486.67746929257</v>
      </c>
      <c r="N72" s="188">
        <f>$B72</f>
        <v>240740</v>
      </c>
      <c r="O72" s="189">
        <f>Sales*Percent.of.sales_Inventory</f>
        <v>220301.174</v>
      </c>
      <c r="P72" s="189">
        <f>Sales*Percent.of.sales_Inventory</f>
        <v>201597.60432740001</v>
      </c>
      <c r="Q72" s="189">
        <f>Sales*Percent.of.sales_Inventory</f>
        <v>184481.96772000377</v>
      </c>
      <c r="R72" s="189">
        <f>Sales*Percent.of.sales_Inventory</f>
        <v>168819.44866057544</v>
      </c>
      <c r="S72" s="190">
        <f>Sales*Percent.of.sales_Inventory</f>
        <v>154486.67746929257</v>
      </c>
      <c r="T72" s="109">
        <f t="shared" si="45"/>
        <v>0.24790494883111694</v>
      </c>
      <c r="U72" s="104">
        <f t="shared" si="46"/>
        <v>0.24790494883111694</v>
      </c>
      <c r="V72" s="104">
        <f t="shared" si="47"/>
        <v>0.24790494883111694</v>
      </c>
      <c r="W72" s="104">
        <f t="shared" si="48"/>
        <v>0.24790494883111697</v>
      </c>
      <c r="X72" s="104">
        <f t="shared" si="49"/>
        <v>0.24790494883111694</v>
      </c>
      <c r="Y72" s="104">
        <f t="shared" si="50"/>
        <v>0.24790494883111694</v>
      </c>
      <c r="Z72" s="121">
        <f t="shared" si="51"/>
        <v>0.24790494883111694</v>
      </c>
      <c r="AA72" s="104">
        <f t="shared" si="52"/>
        <v>0.24790494883111694</v>
      </c>
      <c r="AB72" s="104">
        <f t="shared" si="53"/>
        <v>0.24790494883111694</v>
      </c>
      <c r="AC72" s="104">
        <f t="shared" si="54"/>
        <v>0.24790494883111697</v>
      </c>
      <c r="AD72" s="104">
        <f t="shared" si="55"/>
        <v>0.24790494883111694</v>
      </c>
      <c r="AE72" s="122">
        <f t="shared" si="56"/>
        <v>0.24790494883111694</v>
      </c>
      <c r="AF72" s="123">
        <f t="shared" si="57"/>
        <v>0.24790494883111694</v>
      </c>
      <c r="AG72" s="104">
        <f t="shared" si="58"/>
        <v>0.24790494883111694</v>
      </c>
      <c r="AH72" s="104">
        <f t="shared" si="59"/>
        <v>0.24790494883111694</v>
      </c>
      <c r="AI72" s="104">
        <f t="shared" si="60"/>
        <v>0.24790494883111697</v>
      </c>
      <c r="AJ72" s="104">
        <f t="shared" si="61"/>
        <v>0.24790494883111694</v>
      </c>
      <c r="AK72" s="122">
        <f t="shared" si="62"/>
        <v>0.24790494883111694</v>
      </c>
    </row>
    <row r="73" spans="1:46" x14ac:dyDescent="0.15">
      <c r="A73" s="112" t="s">
        <v>51</v>
      </c>
      <c r="B73" s="411">
        <v>31661</v>
      </c>
      <c r="C73" s="155">
        <f>Sales*Percent.of.sales_OtherCA</f>
        <v>28972.981100000001</v>
      </c>
      <c r="D73" s="155">
        <f>Sales*Percent.of.sales_OtherCA</f>
        <v>26513.175004609999</v>
      </c>
      <c r="E73" s="155">
        <f>Sales*Percent.of.sales_OtherCA</f>
        <v>24262.206446718614</v>
      </c>
      <c r="F73" s="155">
        <f>Sales*Percent.of.sales_OtherCA</f>
        <v>22202.345119392201</v>
      </c>
      <c r="G73" s="155">
        <f>Sales*Percent.of.sales_OtherCA</f>
        <v>20317.366018755802</v>
      </c>
      <c r="H73" s="191">
        <f>$B73</f>
        <v>31661</v>
      </c>
      <c r="I73" s="155">
        <f>Sales*Percent.of.sales_OtherCA</f>
        <v>28972.981100000001</v>
      </c>
      <c r="J73" s="155">
        <f>Sales*Percent.of.sales_OtherCA</f>
        <v>26513.175004609999</v>
      </c>
      <c r="K73" s="155">
        <f>Sales*Percent.of.sales_OtherCA</f>
        <v>24262.206446718614</v>
      </c>
      <c r="L73" s="155">
        <f>Sales*Percent.of.sales_OtherCA</f>
        <v>22202.345119392201</v>
      </c>
      <c r="M73" s="192">
        <f>Sales*Percent.of.sales_OtherCA</f>
        <v>20317.366018755802</v>
      </c>
      <c r="N73" s="191">
        <f>$B73</f>
        <v>31661</v>
      </c>
      <c r="O73" s="155">
        <f>Sales*Percent.of.sales_OtherCA</f>
        <v>28972.981100000001</v>
      </c>
      <c r="P73" s="155">
        <f>Sales*Percent.of.sales_OtherCA</f>
        <v>26513.175004609999</v>
      </c>
      <c r="Q73" s="155">
        <f>Sales*Percent.of.sales_OtherCA</f>
        <v>24262.206446718614</v>
      </c>
      <c r="R73" s="155">
        <f>Sales*Percent.of.sales_OtherCA</f>
        <v>22202.345119392201</v>
      </c>
      <c r="S73" s="192">
        <f>Sales*Percent.of.sales_OtherCA</f>
        <v>20317.366018755802</v>
      </c>
      <c r="T73" s="109">
        <f t="shared" ref="T73:AK73" si="64">B73/B$49</f>
        <v>3.2603300593760876E-2</v>
      </c>
      <c r="U73" s="104">
        <f t="shared" si="64"/>
        <v>3.2603300593760876E-2</v>
      </c>
      <c r="V73" s="104">
        <f t="shared" si="64"/>
        <v>3.2603300593760876E-2</v>
      </c>
      <c r="W73" s="104">
        <f t="shared" si="64"/>
        <v>3.2603300593760876E-2</v>
      </c>
      <c r="X73" s="104">
        <f t="shared" si="64"/>
        <v>3.2603300593760876E-2</v>
      </c>
      <c r="Y73" s="104">
        <f t="shared" si="64"/>
        <v>3.2603300593760876E-2</v>
      </c>
      <c r="Z73" s="121">
        <f t="shared" si="64"/>
        <v>3.2603300593760876E-2</v>
      </c>
      <c r="AA73" s="104">
        <f t="shared" si="64"/>
        <v>3.2603300593760876E-2</v>
      </c>
      <c r="AB73" s="104">
        <f t="shared" si="64"/>
        <v>3.2603300593760876E-2</v>
      </c>
      <c r="AC73" s="104">
        <f t="shared" si="64"/>
        <v>3.2603300593760876E-2</v>
      </c>
      <c r="AD73" s="104">
        <f t="shared" si="64"/>
        <v>3.2603300593760876E-2</v>
      </c>
      <c r="AE73" s="122">
        <f t="shared" si="64"/>
        <v>3.2603300593760876E-2</v>
      </c>
      <c r="AF73" s="123">
        <f t="shared" si="64"/>
        <v>3.2603300593760876E-2</v>
      </c>
      <c r="AG73" s="104">
        <f t="shared" si="64"/>
        <v>3.2603300593760876E-2</v>
      </c>
      <c r="AH73" s="104">
        <f t="shared" si="64"/>
        <v>3.2603300593760876E-2</v>
      </c>
      <c r="AI73" s="104">
        <f t="shared" si="64"/>
        <v>3.2603300593760876E-2</v>
      </c>
      <c r="AJ73" s="104">
        <f t="shared" si="64"/>
        <v>3.2603300593760876E-2</v>
      </c>
      <c r="AK73" s="122">
        <f t="shared" si="64"/>
        <v>3.2603300593760876E-2</v>
      </c>
    </row>
    <row r="74" spans="1:46" x14ac:dyDescent="0.15">
      <c r="A74" s="112" t="s">
        <v>52</v>
      </c>
      <c r="B74" s="153">
        <f t="shared" ref="B74:S74" si="65">Cash+STInvestments+AccountsReceivable+Inventories+OtherCurrentAssets</f>
        <v>423900</v>
      </c>
      <c r="C74" s="152">
        <f t="shared" si="65"/>
        <v>387910.89</v>
      </c>
      <c r="D74" s="152">
        <f t="shared" si="65"/>
        <v>354977.25543899997</v>
      </c>
      <c r="E74" s="152">
        <f t="shared" si="65"/>
        <v>324839.68645222893</v>
      </c>
      <c r="F74" s="152">
        <f t="shared" si="65"/>
        <v>297260.79707243468</v>
      </c>
      <c r="G74" s="152">
        <f t="shared" si="65"/>
        <v>272023.35540098499</v>
      </c>
      <c r="H74" s="188">
        <f t="shared" si="65"/>
        <v>423900</v>
      </c>
      <c r="I74" s="189">
        <f t="shared" si="65"/>
        <v>387910.89</v>
      </c>
      <c r="J74" s="189">
        <f t="shared" si="65"/>
        <v>354977.25543899997</v>
      </c>
      <c r="K74" s="189">
        <f t="shared" si="65"/>
        <v>324839.68645222893</v>
      </c>
      <c r="L74" s="189">
        <f t="shared" si="65"/>
        <v>297260.79707243468</v>
      </c>
      <c r="M74" s="190">
        <f t="shared" si="65"/>
        <v>272023.35540098499</v>
      </c>
      <c r="N74" s="188">
        <f t="shared" si="65"/>
        <v>423900</v>
      </c>
      <c r="O74" s="189">
        <f t="shared" si="65"/>
        <v>387910.89</v>
      </c>
      <c r="P74" s="189">
        <f t="shared" si="65"/>
        <v>354977.25543899997</v>
      </c>
      <c r="Q74" s="189">
        <f t="shared" si="65"/>
        <v>324839.68645222893</v>
      </c>
      <c r="R74" s="189">
        <f t="shared" si="65"/>
        <v>297260.79707243468</v>
      </c>
      <c r="S74" s="190">
        <f t="shared" si="65"/>
        <v>272023.35540098499</v>
      </c>
      <c r="T74" s="109">
        <f t="shared" si="45"/>
        <v>0.4365161909508618</v>
      </c>
      <c r="U74" s="104">
        <f t="shared" si="46"/>
        <v>0.4365161909508618</v>
      </c>
      <c r="V74" s="104">
        <f t="shared" si="47"/>
        <v>0.43651619095086175</v>
      </c>
      <c r="W74" s="104">
        <f t="shared" si="48"/>
        <v>0.4365161909508618</v>
      </c>
      <c r="X74" s="104">
        <f t="shared" si="49"/>
        <v>0.4365161909508618</v>
      </c>
      <c r="Y74" s="104">
        <f t="shared" si="50"/>
        <v>0.43651619095086186</v>
      </c>
      <c r="Z74" s="121">
        <f t="shared" si="51"/>
        <v>0.4365161909508618</v>
      </c>
      <c r="AA74" s="104">
        <f t="shared" si="52"/>
        <v>0.4365161909508618</v>
      </c>
      <c r="AB74" s="104">
        <f t="shared" si="53"/>
        <v>0.43651619095086175</v>
      </c>
      <c r="AC74" s="104">
        <f t="shared" si="54"/>
        <v>0.4365161909508618</v>
      </c>
      <c r="AD74" s="104">
        <f t="shared" si="55"/>
        <v>0.4365161909508618</v>
      </c>
      <c r="AE74" s="122">
        <f t="shared" si="56"/>
        <v>0.43651619095086186</v>
      </c>
      <c r="AF74" s="123">
        <f t="shared" si="57"/>
        <v>0.4365161909508618</v>
      </c>
      <c r="AG74" s="104">
        <f t="shared" si="58"/>
        <v>0.4365161909508618</v>
      </c>
      <c r="AH74" s="104">
        <f t="shared" si="59"/>
        <v>0.43651619095086175</v>
      </c>
      <c r="AI74" s="104">
        <f t="shared" si="60"/>
        <v>0.4365161909508618</v>
      </c>
      <c r="AJ74" s="104">
        <f t="shared" si="61"/>
        <v>0.4365161909508618</v>
      </c>
      <c r="AK74" s="122">
        <f t="shared" si="62"/>
        <v>0.43651619095086186</v>
      </c>
    </row>
    <row r="75" spans="1:46" x14ac:dyDescent="0.15">
      <c r="A75" s="112" t="s">
        <v>177</v>
      </c>
      <c r="B75" s="151">
        <v>105821</v>
      </c>
      <c r="C75" s="152">
        <f>Sales*Percent.of.sales_NFA</f>
        <v>96836.797100000011</v>
      </c>
      <c r="D75" s="152">
        <f>Sales*Percent.of.sales_NFA</f>
        <v>88615.35302621001</v>
      </c>
      <c r="E75" s="152">
        <f>Sales*Percent.of.sales_NFA</f>
        <v>81091.909554284779</v>
      </c>
      <c r="F75" s="152">
        <f>Sales*Percent.of.sales_NFA</f>
        <v>74207.206433126004</v>
      </c>
      <c r="G75" s="152">
        <f>Sales*Percent.of.sales_NFA</f>
        <v>67907.014606953599</v>
      </c>
      <c r="H75" s="188">
        <f>$B75</f>
        <v>105821</v>
      </c>
      <c r="I75" s="189">
        <f>Sales*Percent.of.sales_NFA</f>
        <v>96836.797100000011</v>
      </c>
      <c r="J75" s="189">
        <f>Sales*Percent.of.sales_NFA</f>
        <v>88615.35302621001</v>
      </c>
      <c r="K75" s="189">
        <f>Sales*Percent.of.sales_NFA</f>
        <v>81091.909554284779</v>
      </c>
      <c r="L75" s="189">
        <f>Sales*Percent.of.sales_NFA</f>
        <v>74207.206433126004</v>
      </c>
      <c r="M75" s="190">
        <f>Sales*Percent.of.sales_NFA</f>
        <v>67907.014606953599</v>
      </c>
      <c r="N75" s="188">
        <f>$B75</f>
        <v>105821</v>
      </c>
      <c r="O75" s="189">
        <f>Sales*Percent.of.sales_NFA</f>
        <v>96836.797100000011</v>
      </c>
      <c r="P75" s="189">
        <f>Sales*Percent.of.sales_NFA</f>
        <v>88615.35302621001</v>
      </c>
      <c r="Q75" s="189">
        <f>Sales*Percent.of.sales_NFA</f>
        <v>81091.909554284779</v>
      </c>
      <c r="R75" s="189">
        <f>Sales*Percent.of.sales_NFA</f>
        <v>74207.206433126004</v>
      </c>
      <c r="S75" s="190">
        <f>Sales*Percent.of.sales_NFA</f>
        <v>67907.014606953599</v>
      </c>
      <c r="T75" s="109">
        <f t="shared" si="45"/>
        <v>0.10897046436096049</v>
      </c>
      <c r="U75" s="104">
        <f t="shared" si="46"/>
        <v>0.10897046436096049</v>
      </c>
      <c r="V75" s="104">
        <f t="shared" si="47"/>
        <v>0.10897046436096049</v>
      </c>
      <c r="W75" s="104">
        <f t="shared" si="48"/>
        <v>0.10897046436096047</v>
      </c>
      <c r="X75" s="104">
        <f t="shared" si="49"/>
        <v>0.10897046436096049</v>
      </c>
      <c r="Y75" s="104">
        <f t="shared" si="50"/>
        <v>0.10897046436096047</v>
      </c>
      <c r="Z75" s="121">
        <f t="shared" si="51"/>
        <v>0.10897046436096049</v>
      </c>
      <c r="AA75" s="104">
        <f t="shared" si="52"/>
        <v>0.10897046436096049</v>
      </c>
      <c r="AB75" s="104">
        <f t="shared" si="53"/>
        <v>0.10897046436096049</v>
      </c>
      <c r="AC75" s="104">
        <f t="shared" si="54"/>
        <v>0.10897046436096047</v>
      </c>
      <c r="AD75" s="104">
        <f t="shared" si="55"/>
        <v>0.10897046436096049</v>
      </c>
      <c r="AE75" s="122">
        <f t="shared" si="56"/>
        <v>0.10897046436096047</v>
      </c>
      <c r="AF75" s="123">
        <f t="shared" si="57"/>
        <v>0.10897046436096049</v>
      </c>
      <c r="AG75" s="104">
        <f t="shared" si="58"/>
        <v>0.10897046436096049</v>
      </c>
      <c r="AH75" s="104">
        <f t="shared" si="59"/>
        <v>0.10897046436096049</v>
      </c>
      <c r="AI75" s="104">
        <f t="shared" si="60"/>
        <v>0.10897046436096047</v>
      </c>
      <c r="AJ75" s="104">
        <f t="shared" si="61"/>
        <v>0.10897046436096049</v>
      </c>
      <c r="AK75" s="122">
        <f t="shared" si="62"/>
        <v>0.10897046436096047</v>
      </c>
    </row>
    <row r="76" spans="1:46" x14ac:dyDescent="0.15">
      <c r="A76" s="112" t="s">
        <v>175</v>
      </c>
      <c r="B76" s="151">
        <v>280764</v>
      </c>
      <c r="C76" s="152">
        <f>Sales*Percent.of.sales_OA</f>
        <v>256927.13640000002</v>
      </c>
      <c r="D76" s="152">
        <f>Sales*Percent.of.sales_OA</f>
        <v>235114.02251964001</v>
      </c>
      <c r="E76" s="152">
        <f>Sales*Percent.of.sales_OA</f>
        <v>215152.84200772259</v>
      </c>
      <c r="F76" s="152">
        <f>Sales*Percent.of.sales_OA</f>
        <v>196886.36572126692</v>
      </c>
      <c r="G76" s="152">
        <f>Sales*Percent.of.sales_OA</f>
        <v>180170.71327153136</v>
      </c>
      <c r="H76" s="188">
        <f>$B76</f>
        <v>280764</v>
      </c>
      <c r="I76" s="189">
        <f>Sales*Percent.of.sales_OA</f>
        <v>256927.13640000002</v>
      </c>
      <c r="J76" s="189">
        <f>Sales*Percent.of.sales_OA</f>
        <v>235114.02251964001</v>
      </c>
      <c r="K76" s="189">
        <f>Sales*Percent.of.sales_OA</f>
        <v>215152.84200772259</v>
      </c>
      <c r="L76" s="189">
        <f>Sales*Percent.of.sales_OA</f>
        <v>196886.36572126692</v>
      </c>
      <c r="M76" s="190">
        <f>Sales*Percent.of.sales_OA</f>
        <v>180170.71327153136</v>
      </c>
      <c r="N76" s="188">
        <f>$B76</f>
        <v>280764</v>
      </c>
      <c r="O76" s="189">
        <f>Sales*Percent.of.sales_OA</f>
        <v>256927.13640000002</v>
      </c>
      <c r="P76" s="189">
        <f>Sales*Percent.of.sales_OA</f>
        <v>235114.02251964001</v>
      </c>
      <c r="Q76" s="189">
        <f>Sales*Percent.of.sales_OA</f>
        <v>215152.84200772259</v>
      </c>
      <c r="R76" s="189">
        <f>Sales*Percent.of.sales_OA</f>
        <v>196886.36572126692</v>
      </c>
      <c r="S76" s="190">
        <f>Sales*Percent.of.sales_OA</f>
        <v>180170.71327153136</v>
      </c>
      <c r="T76" s="109">
        <f t="shared" si="45"/>
        <v>0.28912015059242219</v>
      </c>
      <c r="U76" s="104">
        <f t="shared" si="46"/>
        <v>0.28912015059242219</v>
      </c>
      <c r="V76" s="104">
        <f t="shared" si="47"/>
        <v>0.28912015059242219</v>
      </c>
      <c r="W76" s="104">
        <f t="shared" si="48"/>
        <v>0.28912015059242219</v>
      </c>
      <c r="X76" s="104">
        <f t="shared" si="49"/>
        <v>0.28912015059242219</v>
      </c>
      <c r="Y76" s="104">
        <f t="shared" si="50"/>
        <v>0.28912015059242219</v>
      </c>
      <c r="Z76" s="121">
        <f t="shared" si="51"/>
        <v>0.28912015059242219</v>
      </c>
      <c r="AA76" s="104">
        <f t="shared" si="52"/>
        <v>0.28912015059242219</v>
      </c>
      <c r="AB76" s="104">
        <f t="shared" si="53"/>
        <v>0.28912015059242219</v>
      </c>
      <c r="AC76" s="104">
        <f t="shared" si="54"/>
        <v>0.28912015059242219</v>
      </c>
      <c r="AD76" s="104">
        <f t="shared" si="55"/>
        <v>0.28912015059242219</v>
      </c>
      <c r="AE76" s="122">
        <f t="shared" si="56"/>
        <v>0.28912015059242219</v>
      </c>
      <c r="AF76" s="123">
        <f t="shared" si="57"/>
        <v>0.28912015059242219</v>
      </c>
      <c r="AG76" s="104">
        <f t="shared" si="58"/>
        <v>0.28912015059242219</v>
      </c>
      <c r="AH76" s="104">
        <f t="shared" si="59"/>
        <v>0.28912015059242219</v>
      </c>
      <c r="AI76" s="104">
        <f t="shared" si="60"/>
        <v>0.28912015059242219</v>
      </c>
      <c r="AJ76" s="104">
        <f t="shared" si="61"/>
        <v>0.28912015059242219</v>
      </c>
      <c r="AK76" s="122">
        <f t="shared" si="62"/>
        <v>0.28912015059242219</v>
      </c>
    </row>
    <row r="77" spans="1:46" s="137" customFormat="1" x14ac:dyDescent="0.15">
      <c r="A77" s="112" t="s">
        <v>176</v>
      </c>
      <c r="B77" s="154">
        <v>2739</v>
      </c>
      <c r="C77" s="155">
        <f t="shared" ref="C77:S77" si="66">PreviousYearFigure+PlugInToLTInvestments</f>
        <v>2739</v>
      </c>
      <c r="D77" s="155">
        <f t="shared" si="66"/>
        <v>2739</v>
      </c>
      <c r="E77" s="155">
        <f t="shared" si="66"/>
        <v>2739</v>
      </c>
      <c r="F77" s="155">
        <f t="shared" si="66"/>
        <v>2739</v>
      </c>
      <c r="G77" s="155">
        <f t="shared" si="66"/>
        <v>2739</v>
      </c>
      <c r="H77" s="191">
        <f>$B77</f>
        <v>2739</v>
      </c>
      <c r="I77" s="155">
        <f t="shared" si="66"/>
        <v>2739</v>
      </c>
      <c r="J77" s="155">
        <f t="shared" si="66"/>
        <v>2739</v>
      </c>
      <c r="K77" s="155">
        <f t="shared" si="66"/>
        <v>2739</v>
      </c>
      <c r="L77" s="155">
        <f t="shared" si="66"/>
        <v>2739</v>
      </c>
      <c r="M77" s="192">
        <f t="shared" si="66"/>
        <v>2739</v>
      </c>
      <c r="N77" s="191">
        <f>$B77</f>
        <v>2739</v>
      </c>
      <c r="O77" s="155">
        <f t="shared" si="66"/>
        <v>2739</v>
      </c>
      <c r="P77" s="155">
        <f t="shared" si="66"/>
        <v>2739</v>
      </c>
      <c r="Q77" s="155">
        <f t="shared" si="66"/>
        <v>2739</v>
      </c>
      <c r="R77" s="155">
        <f t="shared" si="66"/>
        <v>2739</v>
      </c>
      <c r="S77" s="192">
        <f t="shared" si="66"/>
        <v>2739</v>
      </c>
      <c r="T77" s="109">
        <f t="shared" si="45"/>
        <v>2.8205186294277202E-3</v>
      </c>
      <c r="U77" s="104">
        <f t="shared" si="46"/>
        <v>3.0821971690828541E-3</v>
      </c>
      <c r="V77" s="104">
        <f t="shared" si="47"/>
        <v>3.3681533920695596E-3</v>
      </c>
      <c r="W77" s="104">
        <f t="shared" si="48"/>
        <v>3.6806397028407382E-3</v>
      </c>
      <c r="X77" s="104">
        <f t="shared" si="49"/>
        <v>4.0221174766044568E-3</v>
      </c>
      <c r="Y77" s="104">
        <f t="shared" si="50"/>
        <v>4.3952764469505591E-3</v>
      </c>
      <c r="Z77" s="121">
        <f t="shared" si="51"/>
        <v>2.8205186294277202E-3</v>
      </c>
      <c r="AA77" s="104">
        <f t="shared" si="52"/>
        <v>3.0821971690828541E-3</v>
      </c>
      <c r="AB77" s="104">
        <f t="shared" si="53"/>
        <v>3.3681533920695596E-3</v>
      </c>
      <c r="AC77" s="104">
        <f t="shared" si="54"/>
        <v>3.6806397028407382E-3</v>
      </c>
      <c r="AD77" s="104">
        <f t="shared" si="55"/>
        <v>4.0221174766044568E-3</v>
      </c>
      <c r="AE77" s="122">
        <f t="shared" si="56"/>
        <v>4.3952764469505591E-3</v>
      </c>
      <c r="AF77" s="123">
        <f t="shared" si="57"/>
        <v>2.8205186294277202E-3</v>
      </c>
      <c r="AG77" s="104">
        <f t="shared" si="58"/>
        <v>3.0821971690828541E-3</v>
      </c>
      <c r="AH77" s="104">
        <f t="shared" si="59"/>
        <v>3.3681533920695596E-3</v>
      </c>
      <c r="AI77" s="104">
        <f t="shared" si="60"/>
        <v>3.6806397028407382E-3</v>
      </c>
      <c r="AJ77" s="104">
        <f t="shared" si="61"/>
        <v>4.0221174766044568E-3</v>
      </c>
      <c r="AK77" s="122">
        <f t="shared" si="62"/>
        <v>4.3952764469505591E-3</v>
      </c>
    </row>
    <row r="78" spans="1:46" ht="14" thickBot="1" x14ac:dyDescent="0.2">
      <c r="A78" s="112" t="s">
        <v>153</v>
      </c>
      <c r="B78" s="159">
        <f t="shared" ref="B78:S78" si="67">CurrentAssets+NPPE+Intangibles.OtherAssets+LTInvestments</f>
        <v>813224</v>
      </c>
      <c r="C78" s="160">
        <f t="shared" si="67"/>
        <v>744413.82350000006</v>
      </c>
      <c r="D78" s="160">
        <f t="shared" si="67"/>
        <v>681445.63098485</v>
      </c>
      <c r="E78" s="160">
        <f t="shared" si="67"/>
        <v>623823.43801423628</v>
      </c>
      <c r="F78" s="160">
        <f t="shared" si="67"/>
        <v>571093.36922682764</v>
      </c>
      <c r="G78" s="160">
        <f t="shared" si="67"/>
        <v>522840.08327946998</v>
      </c>
      <c r="H78" s="195">
        <f t="shared" si="67"/>
        <v>813224</v>
      </c>
      <c r="I78" s="160">
        <f t="shared" si="67"/>
        <v>744413.82350000006</v>
      </c>
      <c r="J78" s="160">
        <f t="shared" si="67"/>
        <v>681445.63098485</v>
      </c>
      <c r="K78" s="160">
        <f t="shared" si="67"/>
        <v>623823.43801423628</v>
      </c>
      <c r="L78" s="160">
        <f t="shared" si="67"/>
        <v>571093.36922682764</v>
      </c>
      <c r="M78" s="196">
        <f t="shared" si="67"/>
        <v>522840.08327946998</v>
      </c>
      <c r="N78" s="195">
        <f t="shared" si="67"/>
        <v>813224</v>
      </c>
      <c r="O78" s="160">
        <f t="shared" si="67"/>
        <v>744413.82350000006</v>
      </c>
      <c r="P78" s="160">
        <f t="shared" si="67"/>
        <v>681445.63098485</v>
      </c>
      <c r="Q78" s="160">
        <f t="shared" si="67"/>
        <v>623823.43801423628</v>
      </c>
      <c r="R78" s="160">
        <f t="shared" si="67"/>
        <v>571093.36922682764</v>
      </c>
      <c r="S78" s="196">
        <f t="shared" si="67"/>
        <v>522840.08327946998</v>
      </c>
      <c r="T78" s="141">
        <f t="shared" si="45"/>
        <v>0.83742732453367219</v>
      </c>
      <c r="U78" s="139">
        <f t="shared" si="46"/>
        <v>0.83768900307332739</v>
      </c>
      <c r="V78" s="139">
        <f t="shared" si="47"/>
        <v>0.83797495929631394</v>
      </c>
      <c r="W78" s="139">
        <f t="shared" si="48"/>
        <v>0.83828744560708524</v>
      </c>
      <c r="X78" s="139">
        <f t="shared" si="49"/>
        <v>0.83862892338084893</v>
      </c>
      <c r="Y78" s="139">
        <f t="shared" si="50"/>
        <v>0.83900208235119511</v>
      </c>
      <c r="Z78" s="138">
        <f t="shared" si="51"/>
        <v>0.83742732453367219</v>
      </c>
      <c r="AA78" s="139">
        <f t="shared" si="52"/>
        <v>0.83768900307332739</v>
      </c>
      <c r="AB78" s="139">
        <f t="shared" si="53"/>
        <v>0.83797495929631394</v>
      </c>
      <c r="AC78" s="139">
        <f t="shared" si="54"/>
        <v>0.83828744560708524</v>
      </c>
      <c r="AD78" s="139">
        <f t="shared" si="55"/>
        <v>0.83862892338084893</v>
      </c>
      <c r="AE78" s="140">
        <f t="shared" si="56"/>
        <v>0.83900208235119511</v>
      </c>
      <c r="AF78" s="141">
        <f t="shared" si="57"/>
        <v>0.83742732453367219</v>
      </c>
      <c r="AG78" s="139">
        <f t="shared" si="58"/>
        <v>0.83768900307332739</v>
      </c>
      <c r="AH78" s="139">
        <f t="shared" si="59"/>
        <v>0.83797495929631394</v>
      </c>
      <c r="AI78" s="139">
        <f t="shared" si="60"/>
        <v>0.83828744560708524</v>
      </c>
      <c r="AJ78" s="139">
        <f t="shared" si="61"/>
        <v>0.83862892338084893</v>
      </c>
      <c r="AK78" s="140">
        <f t="shared" si="62"/>
        <v>0.83900208235119511</v>
      </c>
    </row>
    <row r="79" spans="1:46" ht="14" thickTop="1" x14ac:dyDescent="0.15">
      <c r="A79" s="112"/>
      <c r="B79" s="153"/>
      <c r="C79" s="306"/>
      <c r="D79" s="306"/>
      <c r="E79" s="306"/>
      <c r="F79" s="306"/>
      <c r="G79" s="306"/>
      <c r="H79" s="232"/>
      <c r="I79" s="306"/>
      <c r="J79" s="306"/>
      <c r="K79" s="306"/>
      <c r="L79" s="306"/>
      <c r="M79" s="307"/>
      <c r="N79" s="232"/>
      <c r="O79" s="306"/>
      <c r="P79" s="306"/>
      <c r="Q79" s="306"/>
      <c r="R79" s="306"/>
      <c r="S79" s="307"/>
      <c r="T79" s="308"/>
      <c r="U79" s="309"/>
      <c r="V79" s="309"/>
      <c r="W79" s="309"/>
      <c r="X79" s="309"/>
      <c r="Y79" s="309"/>
      <c r="Z79" s="310"/>
      <c r="AA79" s="309"/>
      <c r="AB79" s="309"/>
      <c r="AC79" s="309"/>
      <c r="AD79" s="309"/>
      <c r="AE79" s="311"/>
      <c r="AF79" s="308"/>
      <c r="AG79" s="309"/>
      <c r="AH79" s="309"/>
      <c r="AI79" s="309"/>
      <c r="AJ79" s="309"/>
      <c r="AK79" s="311"/>
    </row>
    <row r="80" spans="1:46" x14ac:dyDescent="0.15">
      <c r="A80" s="135" t="s">
        <v>54</v>
      </c>
      <c r="B80" s="153"/>
      <c r="C80" s="231" t="s">
        <v>55</v>
      </c>
      <c r="D80" s="231" t="s">
        <v>55</v>
      </c>
      <c r="E80" s="231" t="s">
        <v>55</v>
      </c>
      <c r="F80" s="231" t="s">
        <v>55</v>
      </c>
      <c r="G80" s="231" t="s">
        <v>55</v>
      </c>
      <c r="H80" s="232"/>
      <c r="I80" s="233" t="s">
        <v>55</v>
      </c>
      <c r="J80" s="233" t="s">
        <v>55</v>
      </c>
      <c r="K80" s="233" t="s">
        <v>55</v>
      </c>
      <c r="L80" s="233" t="s">
        <v>55</v>
      </c>
      <c r="M80" s="234" t="s">
        <v>55</v>
      </c>
      <c r="N80" s="232"/>
      <c r="O80" s="233" t="s">
        <v>55</v>
      </c>
      <c r="P80" s="233" t="s">
        <v>55</v>
      </c>
      <c r="Q80" s="233" t="s">
        <v>55</v>
      </c>
      <c r="R80" s="233" t="s">
        <v>55</v>
      </c>
      <c r="S80" s="234" t="s">
        <v>55</v>
      </c>
      <c r="T80" s="109"/>
      <c r="U80" s="285"/>
      <c r="V80" s="285"/>
      <c r="W80" s="285"/>
      <c r="X80" s="285"/>
      <c r="Y80" s="285"/>
      <c r="Z80" s="121"/>
      <c r="AA80" s="285"/>
      <c r="AB80" s="285"/>
      <c r="AC80" s="285"/>
      <c r="AD80" s="285"/>
      <c r="AE80" s="122"/>
      <c r="AF80" s="123"/>
      <c r="AG80" s="285"/>
      <c r="AH80" s="285"/>
      <c r="AI80" s="285"/>
      <c r="AJ80" s="285"/>
      <c r="AK80" s="122"/>
    </row>
    <row r="81" spans="1:47" x14ac:dyDescent="0.15">
      <c r="A81" s="112" t="s">
        <v>56</v>
      </c>
      <c r="B81" s="151">
        <v>92699</v>
      </c>
      <c r="C81" s="152">
        <f>Sales*Percent.of.sales_AP</f>
        <v>84828.854900000006</v>
      </c>
      <c r="D81" s="152">
        <f>Sales*Percent.of.sales_AP</f>
        <v>77626.885118990002</v>
      </c>
      <c r="E81" s="152">
        <f>Sales*Percent.of.sales_AP</f>
        <v>71036.362572387749</v>
      </c>
      <c r="F81" s="152">
        <f>Sales*Percent.of.sales_AP</f>
        <v>65005.375389992034</v>
      </c>
      <c r="G81" s="152">
        <f>Sales*Percent.of.sales_AP</f>
        <v>59486.419019381705</v>
      </c>
      <c r="H81" s="188">
        <f>$B81</f>
        <v>92699</v>
      </c>
      <c r="I81" s="189">
        <f>Sales*Percent.of.sales_AP</f>
        <v>84828.854900000006</v>
      </c>
      <c r="J81" s="189">
        <f>Sales*Percent.of.sales_AP</f>
        <v>77626.885118990002</v>
      </c>
      <c r="K81" s="189">
        <f>Sales*Percent.of.sales_AP</f>
        <v>71036.362572387749</v>
      </c>
      <c r="L81" s="189">
        <f>Sales*Percent.of.sales_AP</f>
        <v>65005.375389992034</v>
      </c>
      <c r="M81" s="190">
        <f>Sales*Percent.of.sales_AP</f>
        <v>59486.419019381705</v>
      </c>
      <c r="N81" s="188">
        <f>$B81</f>
        <v>92699</v>
      </c>
      <c r="O81" s="189">
        <f>Sales*Percent.of.sales_AP</f>
        <v>84828.854900000006</v>
      </c>
      <c r="P81" s="189">
        <f>Sales*Percent.of.sales_AP</f>
        <v>77626.885118990002</v>
      </c>
      <c r="Q81" s="189">
        <f>Sales*Percent.of.sales_AP</f>
        <v>71036.362572387749</v>
      </c>
      <c r="R81" s="189">
        <f>Sales*Percent.of.sales_AP</f>
        <v>65005.375389992034</v>
      </c>
      <c r="S81" s="190">
        <f>Sales*Percent.of.sales_AP</f>
        <v>59486.419019381705</v>
      </c>
      <c r="T81" s="109">
        <f t="shared" ref="T81:T94" si="68">B81/B$49</f>
        <v>9.5457924946812781E-2</v>
      </c>
      <c r="U81" s="104">
        <f t="shared" ref="U81:U94" si="69">C81/C$49</f>
        <v>9.5457924946812794E-2</v>
      </c>
      <c r="V81" s="104">
        <f t="shared" ref="V81:V94" si="70">D81/D$49</f>
        <v>9.5457924946812781E-2</v>
      </c>
      <c r="W81" s="104">
        <f t="shared" ref="W81:W94" si="71">E81/E$49</f>
        <v>9.5457924946812767E-2</v>
      </c>
      <c r="X81" s="104">
        <f t="shared" ref="X81:X94" si="72">F81/F$49</f>
        <v>9.5457924946812781E-2</v>
      </c>
      <c r="Y81" s="104">
        <f t="shared" ref="Y81:Y94" si="73">G81/G$49</f>
        <v>9.5457924946812781E-2</v>
      </c>
      <c r="Z81" s="121">
        <f t="shared" ref="Z81:Z94" si="74">H81/H$49</f>
        <v>9.5457924946812781E-2</v>
      </c>
      <c r="AA81" s="104">
        <f t="shared" ref="AA81:AA94" si="75">I81/I$49</f>
        <v>9.5457924946812794E-2</v>
      </c>
      <c r="AB81" s="104">
        <f t="shared" ref="AB81:AB94" si="76">J81/J$49</f>
        <v>9.5457924946812781E-2</v>
      </c>
      <c r="AC81" s="104">
        <f t="shared" ref="AC81:AC94" si="77">K81/K$49</f>
        <v>9.5457924946812767E-2</v>
      </c>
      <c r="AD81" s="104">
        <f t="shared" ref="AD81:AD94" si="78">L81/L$49</f>
        <v>9.5457924946812781E-2</v>
      </c>
      <c r="AE81" s="122">
        <f t="shared" ref="AE81:AE94" si="79">M81/M$49</f>
        <v>9.5457924946812781E-2</v>
      </c>
      <c r="AF81" s="123">
        <f t="shared" ref="AF81:AF94" si="80">N81/N$49</f>
        <v>9.5457924946812781E-2</v>
      </c>
      <c r="AG81" s="104">
        <f t="shared" ref="AG81:AG94" si="81">O81/O$49</f>
        <v>9.5457924946812794E-2</v>
      </c>
      <c r="AH81" s="104">
        <f t="shared" ref="AH81:AH94" si="82">P81/P$49</f>
        <v>9.5457924946812781E-2</v>
      </c>
      <c r="AI81" s="104">
        <f t="shared" ref="AI81:AI94" si="83">Q81/Q$49</f>
        <v>9.5457924946812767E-2</v>
      </c>
      <c r="AJ81" s="104">
        <f t="shared" ref="AJ81:AJ94" si="84">R81/R$49</f>
        <v>9.5457924946812781E-2</v>
      </c>
      <c r="AK81" s="122">
        <f t="shared" ref="AK81:AK94" si="85">S81/S$49</f>
        <v>9.5457924946812781E-2</v>
      </c>
    </row>
    <row r="82" spans="1:47" x14ac:dyDescent="0.15">
      <c r="A82" s="112" t="s">
        <v>57</v>
      </c>
      <c r="B82" s="151">
        <v>114978</v>
      </c>
      <c r="C82" s="152">
        <f>Sales*Percent.of.sales_Accruals</f>
        <v>105216.36780000001</v>
      </c>
      <c r="D82" s="152">
        <f>Sales*Percent.of.sales_Accruals</f>
        <v>96283.498173780012</v>
      </c>
      <c r="E82" s="152">
        <f>Sales*Percent.of.sales_Accruals</f>
        <v>88109.029178826095</v>
      </c>
      <c r="F82" s="152">
        <f>Sales*Percent.of.sales_Accruals</f>
        <v>80628.572601543754</v>
      </c>
      <c r="G82" s="152">
        <f>Sales*Percent.of.sales_Accruals</f>
        <v>73783.20678767268</v>
      </c>
      <c r="H82" s="188">
        <f>$B82</f>
        <v>114978</v>
      </c>
      <c r="I82" s="189">
        <f>Sales*Percent.of.sales_Accruals</f>
        <v>105216.36780000001</v>
      </c>
      <c r="J82" s="189">
        <f>Sales*Percent.of.sales_Accruals</f>
        <v>96283.498173780012</v>
      </c>
      <c r="K82" s="189">
        <f>Sales*Percent.of.sales_Accruals</f>
        <v>88109.029178826095</v>
      </c>
      <c r="L82" s="189">
        <f>Sales*Percent.of.sales_Accruals</f>
        <v>80628.572601543754</v>
      </c>
      <c r="M82" s="190">
        <f>Sales*Percent.of.sales_Accruals</f>
        <v>73783.20678767268</v>
      </c>
      <c r="N82" s="188">
        <f>$B82</f>
        <v>114978</v>
      </c>
      <c r="O82" s="189">
        <f>Sales*Percent.of.sales_Accruals</f>
        <v>105216.36780000001</v>
      </c>
      <c r="P82" s="189">
        <f>Sales*Percent.of.sales_Accruals</f>
        <v>96283.498173780012</v>
      </c>
      <c r="Q82" s="189">
        <f>Sales*Percent.of.sales_Accruals</f>
        <v>88109.029178826095</v>
      </c>
      <c r="R82" s="189">
        <f>Sales*Percent.of.sales_Accruals</f>
        <v>80628.572601543754</v>
      </c>
      <c r="S82" s="190">
        <f>Sales*Percent.of.sales_Accruals</f>
        <v>73783.20678767268</v>
      </c>
      <c r="T82" s="109">
        <f t="shared" si="68"/>
        <v>0.11839999670476101</v>
      </c>
      <c r="U82" s="104">
        <f t="shared" si="69"/>
        <v>0.11839999670476101</v>
      </c>
      <c r="V82" s="104">
        <f t="shared" si="70"/>
        <v>0.11839999670476101</v>
      </c>
      <c r="W82" s="104">
        <f t="shared" si="71"/>
        <v>0.11839999670476101</v>
      </c>
      <c r="X82" s="104">
        <f t="shared" si="72"/>
        <v>0.11839999670476101</v>
      </c>
      <c r="Y82" s="104">
        <f t="shared" si="73"/>
        <v>0.11839999670476099</v>
      </c>
      <c r="Z82" s="121">
        <f t="shared" si="74"/>
        <v>0.11839999670476101</v>
      </c>
      <c r="AA82" s="104">
        <f t="shared" si="75"/>
        <v>0.11839999670476101</v>
      </c>
      <c r="AB82" s="104">
        <f t="shared" si="76"/>
        <v>0.11839999670476101</v>
      </c>
      <c r="AC82" s="104">
        <f t="shared" si="77"/>
        <v>0.11839999670476101</v>
      </c>
      <c r="AD82" s="104">
        <f t="shared" si="78"/>
        <v>0.11839999670476101</v>
      </c>
      <c r="AE82" s="122">
        <f t="shared" si="79"/>
        <v>0.11839999670476099</v>
      </c>
      <c r="AF82" s="123">
        <f t="shared" si="80"/>
        <v>0.11839999670476101</v>
      </c>
      <c r="AG82" s="104">
        <f t="shared" si="81"/>
        <v>0.11839999670476101</v>
      </c>
      <c r="AH82" s="104">
        <f t="shared" si="82"/>
        <v>0.11839999670476101</v>
      </c>
      <c r="AI82" s="104">
        <f t="shared" si="83"/>
        <v>0.11839999670476101</v>
      </c>
      <c r="AJ82" s="104">
        <f t="shared" si="84"/>
        <v>0.11839999670476101</v>
      </c>
      <c r="AK82" s="122">
        <f t="shared" si="85"/>
        <v>0.11839999670476099</v>
      </c>
    </row>
    <row r="83" spans="1:47" x14ac:dyDescent="0.15">
      <c r="A83" s="112" t="s">
        <v>58</v>
      </c>
      <c r="B83" s="154">
        <v>8300</v>
      </c>
      <c r="C83" s="155">
        <f>PreviousYearFigure+Additional.funds_NP-PayDownNP</f>
        <v>34015.277926388211</v>
      </c>
      <c r="D83" s="155">
        <f>PreviousYearFigure+Additional.funds_NP-PayDownNP</f>
        <v>108226.63016572637</v>
      </c>
      <c r="E83" s="155">
        <f>PreviousYearFigure+Additional.funds_NP-PayDownNP</f>
        <v>323227.60369519674</v>
      </c>
      <c r="F83" s="155">
        <f>PreviousYearFigure+Additional.funds_NP-PayDownNP</f>
        <v>946789.18352955068</v>
      </c>
      <c r="G83" s="155">
        <f>PreviousYearFigure+Additional.funds_NP-PayDownNP</f>
        <v>2755797.4038916742</v>
      </c>
      <c r="H83" s="191">
        <f>$B83</f>
        <v>8300</v>
      </c>
      <c r="I83" s="155">
        <f>PreviousYearFigure+Additional.funds_NP-PayDownNP</f>
        <v>8300</v>
      </c>
      <c r="J83" s="155">
        <f>PreviousYearFigure+Additional.funds_NP-PayDownNP</f>
        <v>8300</v>
      </c>
      <c r="K83" s="155">
        <f>PreviousYearFigure+Additional.funds_NP-PayDownNP</f>
        <v>8300</v>
      </c>
      <c r="L83" s="155">
        <f>PreviousYearFigure+Additional.funds_NP-PayDownNP</f>
        <v>8300</v>
      </c>
      <c r="M83" s="192">
        <f>PreviousYearFigure+Additional.funds_NP-PayDownNP</f>
        <v>8300</v>
      </c>
      <c r="N83" s="191">
        <f>$B83</f>
        <v>8300</v>
      </c>
      <c r="O83" s="155">
        <f>PreviousYearFigure+Additional.funds_NP-PayDownNP</f>
        <v>8300</v>
      </c>
      <c r="P83" s="155">
        <f>PreviousYearFigure+Additional.funds_NP-PayDownNP</f>
        <v>8300</v>
      </c>
      <c r="Q83" s="155">
        <f>PreviousYearFigure+Additional.funds_NP-PayDownNP</f>
        <v>8300</v>
      </c>
      <c r="R83" s="155">
        <f>PreviousYearFigure+Additional.funds_NP-PayDownNP</f>
        <v>8300</v>
      </c>
      <c r="S83" s="192">
        <f>PreviousYearFigure+Additional.funds_NP-PayDownNP</f>
        <v>8300</v>
      </c>
      <c r="T83" s="127">
        <f t="shared" si="68"/>
        <v>8.5470261497809698E-3</v>
      </c>
      <c r="U83" s="125">
        <f t="shared" si="69"/>
        <v>3.827739807604244E-2</v>
      </c>
      <c r="V83" s="125">
        <f t="shared" si="70"/>
        <v>0.13308648831871084</v>
      </c>
      <c r="W83" s="125">
        <f t="shared" si="71"/>
        <v>0.434349890914426</v>
      </c>
      <c r="X83" s="125">
        <f t="shared" si="72"/>
        <v>1.3903239582819533</v>
      </c>
      <c r="Y83" s="125">
        <f t="shared" si="73"/>
        <v>4.4222312602747618</v>
      </c>
      <c r="Z83" s="124">
        <f t="shared" si="74"/>
        <v>8.5470261497809698E-3</v>
      </c>
      <c r="AA83" s="125">
        <f t="shared" si="75"/>
        <v>9.3399914214631948E-3</v>
      </c>
      <c r="AB83" s="125">
        <f t="shared" si="76"/>
        <v>1.0206525430513817E-2</v>
      </c>
      <c r="AC83" s="125">
        <f t="shared" si="77"/>
        <v>1.1153453644971934E-2</v>
      </c>
      <c r="AD83" s="125">
        <f t="shared" si="78"/>
        <v>1.2188234777589263E-2</v>
      </c>
      <c r="AE83" s="126">
        <f t="shared" si="79"/>
        <v>1.3319019536213816E-2</v>
      </c>
      <c r="AF83" s="127">
        <f t="shared" si="80"/>
        <v>8.5470261497809698E-3</v>
      </c>
      <c r="AG83" s="125">
        <f t="shared" si="81"/>
        <v>9.3399914214631948E-3</v>
      </c>
      <c r="AH83" s="125">
        <f t="shared" si="82"/>
        <v>1.0206525430513817E-2</v>
      </c>
      <c r="AI83" s="125">
        <f t="shared" si="83"/>
        <v>1.1153453644971934E-2</v>
      </c>
      <c r="AJ83" s="125">
        <f t="shared" si="84"/>
        <v>1.2188234777589263E-2</v>
      </c>
      <c r="AK83" s="126">
        <f t="shared" si="85"/>
        <v>1.3319019536213816E-2</v>
      </c>
    </row>
    <row r="84" spans="1:47" x14ac:dyDescent="0.15">
      <c r="A84" s="112" t="s">
        <v>59</v>
      </c>
      <c r="B84" s="153">
        <f t="shared" ref="B84:S84" si="86">AccountsPayable+Accruals+NotesPayable</f>
        <v>215977</v>
      </c>
      <c r="C84" s="152">
        <f t="shared" si="86"/>
        <v>224060.50062638824</v>
      </c>
      <c r="D84" s="152">
        <f t="shared" si="86"/>
        <v>282137.01345849637</v>
      </c>
      <c r="E84" s="152">
        <f t="shared" si="86"/>
        <v>482372.99544641061</v>
      </c>
      <c r="F84" s="152">
        <f t="shared" si="86"/>
        <v>1092423.1315210864</v>
      </c>
      <c r="G84" s="152">
        <f t="shared" si="86"/>
        <v>2889067.0296987286</v>
      </c>
      <c r="H84" s="188">
        <f t="shared" si="86"/>
        <v>215977</v>
      </c>
      <c r="I84" s="189">
        <f t="shared" si="86"/>
        <v>198345.22270000001</v>
      </c>
      <c r="J84" s="189">
        <f t="shared" si="86"/>
        <v>182210.38329277001</v>
      </c>
      <c r="K84" s="189">
        <f t="shared" si="86"/>
        <v>167445.39175121384</v>
      </c>
      <c r="L84" s="189">
        <f t="shared" si="86"/>
        <v>153933.9479915358</v>
      </c>
      <c r="M84" s="190">
        <f t="shared" si="86"/>
        <v>141569.6258070544</v>
      </c>
      <c r="N84" s="188">
        <f t="shared" si="86"/>
        <v>215977</v>
      </c>
      <c r="O84" s="189">
        <f t="shared" si="86"/>
        <v>198345.22270000001</v>
      </c>
      <c r="P84" s="189">
        <f t="shared" si="86"/>
        <v>182210.38329277001</v>
      </c>
      <c r="Q84" s="189">
        <f t="shared" si="86"/>
        <v>167445.39175121384</v>
      </c>
      <c r="R84" s="189">
        <f t="shared" si="86"/>
        <v>153933.9479915358</v>
      </c>
      <c r="S84" s="190">
        <f t="shared" si="86"/>
        <v>141569.6258070544</v>
      </c>
      <c r="T84" s="109">
        <f t="shared" si="68"/>
        <v>0.22240494780135475</v>
      </c>
      <c r="U84" s="104">
        <f t="shared" si="69"/>
        <v>0.25213531972761627</v>
      </c>
      <c r="V84" s="104">
        <f t="shared" si="70"/>
        <v>0.34694440997028464</v>
      </c>
      <c r="W84" s="104">
        <f t="shared" si="71"/>
        <v>0.6482078125659998</v>
      </c>
      <c r="X84" s="104">
        <f t="shared" si="72"/>
        <v>1.6041818799335272</v>
      </c>
      <c r="Y84" s="104">
        <f t="shared" si="73"/>
        <v>4.6360891819263355</v>
      </c>
      <c r="Z84" s="121">
        <f t="shared" si="74"/>
        <v>0.22240494780135475</v>
      </c>
      <c r="AA84" s="104">
        <f t="shared" si="75"/>
        <v>0.22319791307303699</v>
      </c>
      <c r="AB84" s="104">
        <f t="shared" si="76"/>
        <v>0.22406444708208761</v>
      </c>
      <c r="AC84" s="104">
        <f t="shared" si="77"/>
        <v>0.22501137529654572</v>
      </c>
      <c r="AD84" s="104">
        <f t="shared" si="78"/>
        <v>0.22604615642916306</v>
      </c>
      <c r="AE84" s="122">
        <f t="shared" si="79"/>
        <v>0.22717694118778761</v>
      </c>
      <c r="AF84" s="123">
        <f t="shared" si="80"/>
        <v>0.22240494780135475</v>
      </c>
      <c r="AG84" s="104">
        <f t="shared" si="81"/>
        <v>0.22319791307303699</v>
      </c>
      <c r="AH84" s="104">
        <f t="shared" si="82"/>
        <v>0.22406444708208761</v>
      </c>
      <c r="AI84" s="104">
        <f t="shared" si="83"/>
        <v>0.22501137529654572</v>
      </c>
      <c r="AJ84" s="104">
        <f t="shared" si="84"/>
        <v>0.22604615642916306</v>
      </c>
      <c r="AK84" s="122">
        <f t="shared" si="85"/>
        <v>0.22717694118778761</v>
      </c>
    </row>
    <row r="85" spans="1:47" x14ac:dyDescent="0.15">
      <c r="A85" s="112" t="s">
        <v>180</v>
      </c>
      <c r="B85" s="151">
        <v>355634</v>
      </c>
      <c r="C85" s="231">
        <f>PreviousYearFigure+Additional.funds_Bonds-PayDownLTDebt</f>
        <v>1457468.5963943547</v>
      </c>
      <c r="D85" s="231">
        <f>PreviousYearFigure+Additional.funds_Bonds-PayDownLTDebt</f>
        <v>4637237.2761877021</v>
      </c>
      <c r="E85" s="231">
        <f>PreviousYearFigure+Additional.funds_Bonds-PayDownLTDebt</f>
        <v>13849485.013558745</v>
      </c>
      <c r="F85" s="231">
        <f>PreviousYearFigure+Additional.funds_Bonds-PayDownLTDebt</f>
        <v>40567521.02353593</v>
      </c>
      <c r="G85" s="231">
        <f>PreviousYearFigure+Additional.funds_Bonds-PayDownLTDebt</f>
        <v>118078946.25730261</v>
      </c>
      <c r="H85" s="232">
        <f>$B85</f>
        <v>355634</v>
      </c>
      <c r="I85" s="233">
        <f>PreviousYearFigure+Additional.funds_Bonds-PayDownLTDebt</f>
        <v>355634</v>
      </c>
      <c r="J85" s="233">
        <f>PreviousYearFigure+Additional.funds_Bonds-PayDownLTDebt</f>
        <v>355634</v>
      </c>
      <c r="K85" s="233">
        <f>PreviousYearFigure+Additional.funds_Bonds-PayDownLTDebt</f>
        <v>355634</v>
      </c>
      <c r="L85" s="233">
        <f>PreviousYearFigure+Additional.funds_Bonds-PayDownLTDebt</f>
        <v>355634</v>
      </c>
      <c r="M85" s="234">
        <f>PreviousYearFigure+Additional.funds_Bonds-PayDownLTDebt</f>
        <v>355634</v>
      </c>
      <c r="N85" s="232">
        <f>$B85</f>
        <v>355634</v>
      </c>
      <c r="O85" s="233">
        <f>PreviousYearFigure+Additional.funds_Bonds-PayDownLTDebt</f>
        <v>355634</v>
      </c>
      <c r="P85" s="233">
        <f>PreviousYearFigure+Additional.funds_Bonds-PayDownLTDebt</f>
        <v>355634</v>
      </c>
      <c r="Q85" s="233">
        <f>PreviousYearFigure+Additional.funds_Bonds-PayDownLTDebt</f>
        <v>355634</v>
      </c>
      <c r="R85" s="233">
        <f>PreviousYearFigure+Additional.funds_Bonds-PayDownLTDebt</f>
        <v>355634</v>
      </c>
      <c r="S85" s="234">
        <f>PreviousYearFigure+Additional.funds_Bonds-PayDownLTDebt</f>
        <v>355634</v>
      </c>
      <c r="T85" s="109">
        <f t="shared" ref="T85:AK85" si="87">B85/B$49</f>
        <v>0.3662184455121934</v>
      </c>
      <c r="U85" s="104">
        <f t="shared" si="87"/>
        <v>1.6400896611295512</v>
      </c>
      <c r="V85" s="104">
        <f t="shared" si="87"/>
        <v>5.7024192996067962</v>
      </c>
      <c r="W85" s="104">
        <f t="shared" si="87"/>
        <v>18.610793868127828</v>
      </c>
      <c r="X85" s="104">
        <f t="shared" si="87"/>
        <v>59.571863925258334</v>
      </c>
      <c r="Y85" s="104">
        <f t="shared" si="87"/>
        <v>189.48142072488611</v>
      </c>
      <c r="Z85" s="121">
        <f t="shared" si="87"/>
        <v>0.3662184455121934</v>
      </c>
      <c r="AA85" s="104">
        <f t="shared" si="87"/>
        <v>0.4001950011061014</v>
      </c>
      <c r="AB85" s="104">
        <f t="shared" si="87"/>
        <v>0.43732379095847601</v>
      </c>
      <c r="AC85" s="104">
        <f t="shared" si="87"/>
        <v>0.47789726910553598</v>
      </c>
      <c r="AD85" s="104">
        <f t="shared" si="87"/>
        <v>0.52223502251725062</v>
      </c>
      <c r="AE85" s="122">
        <f t="shared" si="87"/>
        <v>0.57068628840263425</v>
      </c>
      <c r="AF85" s="123">
        <f t="shared" si="87"/>
        <v>0.3662184455121934</v>
      </c>
      <c r="AG85" s="104">
        <f t="shared" si="87"/>
        <v>0.4001950011061014</v>
      </c>
      <c r="AH85" s="104">
        <f t="shared" si="87"/>
        <v>0.43732379095847601</v>
      </c>
      <c r="AI85" s="104">
        <f t="shared" si="87"/>
        <v>0.47789726910553598</v>
      </c>
      <c r="AJ85" s="104">
        <f t="shared" si="87"/>
        <v>0.52223502251725062</v>
      </c>
      <c r="AK85" s="122">
        <f t="shared" si="87"/>
        <v>0.57068628840263425</v>
      </c>
      <c r="AL85" s="235"/>
      <c r="AM85" s="235"/>
      <c r="AN85" s="235"/>
      <c r="AO85" s="235"/>
      <c r="AP85" s="235"/>
      <c r="AQ85" s="235"/>
    </row>
    <row r="86" spans="1:47" x14ac:dyDescent="0.15">
      <c r="A86" s="112" t="s">
        <v>187</v>
      </c>
      <c r="B86" s="154">
        <v>54901</v>
      </c>
      <c r="C86" s="155">
        <f>Sales*Percent.of.sales_OtherSponFunds</f>
        <v>50239.905100000004</v>
      </c>
      <c r="D86" s="155">
        <f>Sales*Percent.of.sales_OtherSponFunds</f>
        <v>45974.537157010003</v>
      </c>
      <c r="E86" s="155">
        <f>Sales*Percent.of.sales_OtherSponFunds</f>
        <v>42071.298952379853</v>
      </c>
      <c r="F86" s="155">
        <f>Sales*Percent.of.sales_OtherSponFunds</f>
        <v>38499.445671322806</v>
      </c>
      <c r="G86" s="155">
        <f>Sales*Percent.of.sales_OtherSponFunds</f>
        <v>35230.8427338275</v>
      </c>
      <c r="H86" s="191">
        <f>$B86</f>
        <v>54901</v>
      </c>
      <c r="I86" s="155">
        <f>Sales*Percent.of.sales_OtherSponFunds</f>
        <v>50239.905100000004</v>
      </c>
      <c r="J86" s="155">
        <f>Sales*Percent.of.sales_OtherSponFunds</f>
        <v>45974.537157010003</v>
      </c>
      <c r="K86" s="155">
        <f>Sales*Percent.of.sales_OtherSponFunds</f>
        <v>42071.298952379853</v>
      </c>
      <c r="L86" s="155">
        <f>Sales*Percent.of.sales_OtherSponFunds</f>
        <v>38499.445671322806</v>
      </c>
      <c r="M86" s="192">
        <f>Sales*Percent.of.sales_OtherSponFunds</f>
        <v>35230.8427338275</v>
      </c>
      <c r="N86" s="191">
        <f>$B86</f>
        <v>54901</v>
      </c>
      <c r="O86" s="155">
        <f>Sales*Percent.of.sales_OtherSponFunds</f>
        <v>50239.905100000004</v>
      </c>
      <c r="P86" s="155">
        <f>Sales*Percent.of.sales_OtherSponFunds</f>
        <v>45974.537157010003</v>
      </c>
      <c r="Q86" s="155">
        <f>Sales*Percent.of.sales_OtherSponFunds</f>
        <v>42071.298952379853</v>
      </c>
      <c r="R86" s="155">
        <f>Sales*Percent.of.sales_OtherSponFunds</f>
        <v>38499.445671322806</v>
      </c>
      <c r="S86" s="192">
        <f>Sales*Percent.of.sales_OtherSponFunds</f>
        <v>35230.8427338275</v>
      </c>
      <c r="T86" s="127">
        <f t="shared" si="68"/>
        <v>5.6534973813147593E-2</v>
      </c>
      <c r="U86" s="125">
        <f t="shared" si="69"/>
        <v>5.6534973813147593E-2</v>
      </c>
      <c r="V86" s="125">
        <f t="shared" si="70"/>
        <v>5.6534973813147593E-2</v>
      </c>
      <c r="W86" s="125">
        <f t="shared" si="71"/>
        <v>5.6534973813147586E-2</v>
      </c>
      <c r="X86" s="125">
        <f t="shared" si="72"/>
        <v>5.6534973813147593E-2</v>
      </c>
      <c r="Y86" s="125">
        <f t="shared" si="73"/>
        <v>5.6534973813147593E-2</v>
      </c>
      <c r="Z86" s="124">
        <f t="shared" si="74"/>
        <v>5.6534973813147593E-2</v>
      </c>
      <c r="AA86" s="125">
        <f t="shared" si="75"/>
        <v>5.6534973813147593E-2</v>
      </c>
      <c r="AB86" s="125">
        <f t="shared" si="76"/>
        <v>5.6534973813147593E-2</v>
      </c>
      <c r="AC86" s="125">
        <f t="shared" si="77"/>
        <v>5.6534973813147586E-2</v>
      </c>
      <c r="AD86" s="125">
        <f t="shared" si="78"/>
        <v>5.6534973813147593E-2</v>
      </c>
      <c r="AE86" s="126">
        <f t="shared" si="79"/>
        <v>5.6534973813147593E-2</v>
      </c>
      <c r="AF86" s="127">
        <f t="shared" si="80"/>
        <v>5.6534973813147593E-2</v>
      </c>
      <c r="AG86" s="125">
        <f t="shared" si="81"/>
        <v>5.6534973813147593E-2</v>
      </c>
      <c r="AH86" s="125">
        <f t="shared" si="82"/>
        <v>5.6534973813147593E-2</v>
      </c>
      <c r="AI86" s="125">
        <f t="shared" si="83"/>
        <v>5.6534973813147586E-2</v>
      </c>
      <c r="AJ86" s="125">
        <f t="shared" si="84"/>
        <v>5.6534973813147593E-2</v>
      </c>
      <c r="AK86" s="126">
        <f t="shared" si="85"/>
        <v>5.6534973813147593E-2</v>
      </c>
    </row>
    <row r="87" spans="1:47" x14ac:dyDescent="0.15">
      <c r="A87" s="112" t="s">
        <v>60</v>
      </c>
      <c r="B87" s="153">
        <f t="shared" ref="B87:S87" si="88">CurrentLiabilities+OtherLiab.related.to.Sales+LongTermDebt</f>
        <v>626512</v>
      </c>
      <c r="C87" s="152">
        <f t="shared" si="88"/>
        <v>1731769.002120743</v>
      </c>
      <c r="D87" s="152">
        <f t="shared" si="88"/>
        <v>4965348.8268032083</v>
      </c>
      <c r="E87" s="152">
        <f t="shared" si="88"/>
        <v>14373929.307957536</v>
      </c>
      <c r="F87" s="152">
        <f t="shared" si="88"/>
        <v>41698443.60072834</v>
      </c>
      <c r="G87" s="152">
        <f t="shared" si="88"/>
        <v>121003244.12973517</v>
      </c>
      <c r="H87" s="188">
        <f t="shared" si="88"/>
        <v>626512</v>
      </c>
      <c r="I87" s="189">
        <f t="shared" si="88"/>
        <v>604219.12780000002</v>
      </c>
      <c r="J87" s="189">
        <f t="shared" si="88"/>
        <v>583818.92044978007</v>
      </c>
      <c r="K87" s="189">
        <f t="shared" si="88"/>
        <v>565150.69070359366</v>
      </c>
      <c r="L87" s="189">
        <f t="shared" si="88"/>
        <v>548067.39366285864</v>
      </c>
      <c r="M87" s="190">
        <f t="shared" si="88"/>
        <v>532434.46854088188</v>
      </c>
      <c r="N87" s="188">
        <f t="shared" si="88"/>
        <v>626512</v>
      </c>
      <c r="O87" s="189">
        <f t="shared" si="88"/>
        <v>604219.12780000002</v>
      </c>
      <c r="P87" s="189">
        <f t="shared" si="88"/>
        <v>583818.92044978007</v>
      </c>
      <c r="Q87" s="189">
        <f t="shared" si="88"/>
        <v>565150.69070359366</v>
      </c>
      <c r="R87" s="189">
        <f t="shared" si="88"/>
        <v>548067.39366285864</v>
      </c>
      <c r="S87" s="190">
        <f t="shared" si="88"/>
        <v>532434.46854088188</v>
      </c>
      <c r="T87" s="109">
        <f t="shared" si="68"/>
        <v>0.64515836712669572</v>
      </c>
      <c r="U87" s="104">
        <f t="shared" si="69"/>
        <v>1.9487599546703154</v>
      </c>
      <c r="V87" s="104">
        <f t="shared" si="70"/>
        <v>6.1058986833902278</v>
      </c>
      <c r="W87" s="104">
        <f t="shared" si="71"/>
        <v>19.315536654506975</v>
      </c>
      <c r="X87" s="104">
        <f t="shared" si="72"/>
        <v>61.232580779005012</v>
      </c>
      <c r="Y87" s="104">
        <f t="shared" si="73"/>
        <v>194.17404488062562</v>
      </c>
      <c r="Z87" s="121">
        <f t="shared" si="74"/>
        <v>0.64515836712669572</v>
      </c>
      <c r="AA87" s="104">
        <f t="shared" si="75"/>
        <v>0.67992788799228598</v>
      </c>
      <c r="AB87" s="104">
        <f t="shared" si="76"/>
        <v>0.71792321185371133</v>
      </c>
      <c r="AC87" s="104">
        <f t="shared" si="77"/>
        <v>0.75944361821522921</v>
      </c>
      <c r="AD87" s="104">
        <f t="shared" si="78"/>
        <v>0.80481615275956131</v>
      </c>
      <c r="AE87" s="122">
        <f t="shared" si="79"/>
        <v>0.85439820340356942</v>
      </c>
      <c r="AF87" s="123">
        <f t="shared" si="80"/>
        <v>0.64515836712669572</v>
      </c>
      <c r="AG87" s="104">
        <f t="shared" si="81"/>
        <v>0.67992788799228598</v>
      </c>
      <c r="AH87" s="104">
        <f t="shared" si="82"/>
        <v>0.71792321185371133</v>
      </c>
      <c r="AI87" s="104">
        <f t="shared" si="83"/>
        <v>0.75944361821522921</v>
      </c>
      <c r="AJ87" s="104">
        <f t="shared" si="84"/>
        <v>0.80481615275956131</v>
      </c>
      <c r="AK87" s="122">
        <f t="shared" si="85"/>
        <v>0.85439820340356942</v>
      </c>
    </row>
    <row r="88" spans="1:47" x14ac:dyDescent="0.15">
      <c r="A88" s="112" t="s">
        <v>184</v>
      </c>
      <c r="B88" s="151">
        <v>54313</v>
      </c>
      <c r="C88" s="152">
        <f>PreviousYearFigure+IF(Additional.funds_Prfd&gt;=0,Additional.funds_Prfd,0)</f>
        <v>222586.9626525208</v>
      </c>
      <c r="D88" s="152">
        <f>PreviousYearFigure+IF(Additional.funds_Prfd&gt;=0,Additional.funds_Prfd,0)</f>
        <v>708206.38122784288</v>
      </c>
      <c r="E88" s="152">
        <f>PreviousYearFigure+IF(Additional.funds_Prfd&gt;=0,Additional.funds_Prfd,0)</f>
        <v>2115115.7637948459</v>
      </c>
      <c r="F88" s="152">
        <f>PreviousYearFigure+IF(Additional.funds_Prfd&gt;=0,Additional.funds_Prfd,0)</f>
        <v>6195537.4608482514</v>
      </c>
      <c r="G88" s="152">
        <f>PreviousYearFigure+IF(Additional.funds_Prfd&gt;=0,Additional.funds_Prfd,0)</f>
        <v>18033207.758743197</v>
      </c>
      <c r="H88" s="188">
        <f>$B88</f>
        <v>54313</v>
      </c>
      <c r="I88" s="189">
        <f>PreviousYearFigure+IF(Additional.funds_Prfd&gt;=0,Additional.funds_Prfd,0)</f>
        <v>54313</v>
      </c>
      <c r="J88" s="189">
        <f>PreviousYearFigure+IF(Additional.funds_Prfd&gt;=0,Additional.funds_Prfd,0)</f>
        <v>54313</v>
      </c>
      <c r="K88" s="189">
        <f>PreviousYearFigure+IF(Additional.funds_Prfd&gt;=0,Additional.funds_Prfd,0)</f>
        <v>54313</v>
      </c>
      <c r="L88" s="189">
        <f>PreviousYearFigure+IF(Additional.funds_Prfd&gt;=0,Additional.funds_Prfd,0)</f>
        <v>54313</v>
      </c>
      <c r="M88" s="190">
        <f>PreviousYearFigure+IF(Additional.funds_Prfd&gt;=0,Additional.funds_Prfd,0)</f>
        <v>54313</v>
      </c>
      <c r="N88" s="188">
        <f>$B88</f>
        <v>54313</v>
      </c>
      <c r="O88" s="189">
        <f>PreviousYearFigure+IF(Additional.funds_Prfd&gt;=0,Additional.funds_Prfd,0)</f>
        <v>54313</v>
      </c>
      <c r="P88" s="189">
        <f>PreviousYearFigure+IF(Additional.funds_Prfd&gt;=0,Additional.funds_Prfd,0)</f>
        <v>54313</v>
      </c>
      <c r="Q88" s="189">
        <f>PreviousYearFigure+IF(Additional.funds_Prfd&gt;=0,Additional.funds_Prfd,0)</f>
        <v>54313</v>
      </c>
      <c r="R88" s="189">
        <f>PreviousYearFigure+IF(Additional.funds_Prfd&gt;=0,Additional.funds_Prfd,0)</f>
        <v>54313</v>
      </c>
      <c r="S88" s="190">
        <f>PreviousYearFigure+IF(Additional.funds_Prfd&gt;=0,Additional.funds_Prfd,0)</f>
        <v>54313</v>
      </c>
      <c r="T88" s="109">
        <f t="shared" si="68"/>
        <v>5.5929473647355878E-2</v>
      </c>
      <c r="U88" s="104">
        <f t="shared" si="69"/>
        <v>0.25047714719326419</v>
      </c>
      <c r="V88" s="104">
        <f t="shared" si="70"/>
        <v>0.87088270362098097</v>
      </c>
      <c r="W88" s="104">
        <f t="shared" si="71"/>
        <v>2.8422705572572555</v>
      </c>
      <c r="X88" s="104">
        <f t="shared" si="72"/>
        <v>9.0979114633937037</v>
      </c>
      <c r="Y88" s="104">
        <f t="shared" si="73"/>
        <v>28.937909209554604</v>
      </c>
      <c r="Z88" s="121">
        <f t="shared" si="74"/>
        <v>5.5929473647355878E-2</v>
      </c>
      <c r="AA88" s="104">
        <f t="shared" si="75"/>
        <v>6.1118428201678371E-2</v>
      </c>
      <c r="AB88" s="104">
        <f t="shared" si="76"/>
        <v>6.6788797073192407E-2</v>
      </c>
      <c r="AC88" s="104">
        <f t="shared" si="77"/>
        <v>7.2985244315585618E-2</v>
      </c>
      <c r="AD88" s="104">
        <f t="shared" si="78"/>
        <v>7.9756577768097067E-2</v>
      </c>
      <c r="AE88" s="122">
        <f t="shared" si="79"/>
        <v>8.7156133502455546E-2</v>
      </c>
      <c r="AF88" s="123">
        <f t="shared" si="80"/>
        <v>5.5929473647355878E-2</v>
      </c>
      <c r="AG88" s="104">
        <f t="shared" si="81"/>
        <v>6.1118428201678371E-2</v>
      </c>
      <c r="AH88" s="104">
        <f t="shared" si="82"/>
        <v>6.6788797073192407E-2</v>
      </c>
      <c r="AI88" s="104">
        <f t="shared" si="83"/>
        <v>7.2985244315585618E-2</v>
      </c>
      <c r="AJ88" s="104">
        <f t="shared" si="84"/>
        <v>7.9756577768097067E-2</v>
      </c>
      <c r="AK88" s="122">
        <f t="shared" si="85"/>
        <v>8.7156133502455546E-2</v>
      </c>
    </row>
    <row r="89" spans="1:47" x14ac:dyDescent="0.15">
      <c r="A89" s="112" t="s">
        <v>159</v>
      </c>
      <c r="B89" s="151">
        <v>376143</v>
      </c>
      <c r="C89" s="152">
        <f>PreviousYearFigure+IF(Additional.funds_Equity&gt;=0,Additional.funds_Equity,0)</f>
        <v>786345.05809347867</v>
      </c>
      <c r="D89" s="152">
        <f>PreviousYearFigure+IF(Additional.funds_Equity&gt;=0,Additional.funds_Equity,0)</f>
        <v>1970141.3020857838</v>
      </c>
      <c r="E89" s="152">
        <f>PreviousYearFigure+IF(Additional.funds_Equity&gt;=0,Additional.funds_Equity,0)</f>
        <v>5399769.4821253438</v>
      </c>
      <c r="F89" s="152">
        <f>PreviousYearFigure+IF(Additional.funds_Equity&gt;=0,Additional.funds_Equity,0)</f>
        <v>15346628.471099878</v>
      </c>
      <c r="G89" s="152">
        <f>PreviousYearFigure+IF(Additional.funds_Equity&gt;=0,Additional.funds_Equity,0)</f>
        <v>44203360.925042629</v>
      </c>
      <c r="H89" s="188">
        <f>$B89</f>
        <v>376143</v>
      </c>
      <c r="I89" s="189">
        <f>PreviousYearFigure+IF(Additional.funds_Equity&gt;=0,Additional.funds_Equity,0)</f>
        <v>376143</v>
      </c>
      <c r="J89" s="189">
        <f>PreviousYearFigure+IF(Additional.funds_Equity&gt;=0,Additional.funds_Equity,0)</f>
        <v>376143</v>
      </c>
      <c r="K89" s="189">
        <f>PreviousYearFigure+IF(Additional.funds_Equity&gt;=0,Additional.funds_Equity,0)</f>
        <v>376143</v>
      </c>
      <c r="L89" s="189">
        <f>PreviousYearFigure+IF(Additional.funds_Equity&gt;=0,Additional.funds_Equity,0)</f>
        <v>376143</v>
      </c>
      <c r="M89" s="190">
        <f>PreviousYearFigure+IF(Additional.funds_Equity&gt;=0,Additional.funds_Equity,0)</f>
        <v>376143</v>
      </c>
      <c r="N89" s="188">
        <f>$B89</f>
        <v>376143</v>
      </c>
      <c r="O89" s="189">
        <f>PreviousYearFigure+IF(Additional.funds_Equity&gt;=0,Additional.funds_Equity,0)</f>
        <v>376143</v>
      </c>
      <c r="P89" s="189">
        <f>PreviousYearFigure+IF(Additional.funds_Equity&gt;=0,Additional.funds_Equity,0)</f>
        <v>376143</v>
      </c>
      <c r="Q89" s="189">
        <f>PreviousYearFigure+IF(Additional.funds_Equity&gt;=0,Additional.funds_Equity,0)</f>
        <v>376143</v>
      </c>
      <c r="R89" s="189">
        <f>PreviousYearFigure+IF(Additional.funds_Equity&gt;=0,Additional.funds_Equity,0)</f>
        <v>376143</v>
      </c>
      <c r="S89" s="190">
        <f>PreviousYearFigure+IF(Additional.funds_Equity&gt;=0,Additional.funds_Equity,0)</f>
        <v>376143</v>
      </c>
      <c r="T89" s="109">
        <f t="shared" si="68"/>
        <v>0.38733783819964618</v>
      </c>
      <c r="U89" s="104">
        <f t="shared" si="69"/>
        <v>0.88487422854253839</v>
      </c>
      <c r="V89" s="104">
        <f t="shared" si="70"/>
        <v>2.422686421860742</v>
      </c>
      <c r="W89" s="104">
        <f t="shared" si="71"/>
        <v>7.2561540496890515</v>
      </c>
      <c r="X89" s="104">
        <f t="shared" si="72"/>
        <v>22.535941066289286</v>
      </c>
      <c r="Y89" s="104">
        <f t="shared" si="73"/>
        <v>70.933184063488341</v>
      </c>
      <c r="Z89" s="121">
        <f t="shared" si="74"/>
        <v>0.38733783819964618</v>
      </c>
      <c r="AA89" s="104">
        <f t="shared" si="75"/>
        <v>0.42327378231848561</v>
      </c>
      <c r="AB89" s="104">
        <f t="shared" si="76"/>
        <v>0.46254374638671791</v>
      </c>
      <c r="AC89" s="104">
        <f t="shared" si="77"/>
        <v>0.50545704992538287</v>
      </c>
      <c r="AD89" s="104">
        <f t="shared" si="78"/>
        <v>0.55235171011406725</v>
      </c>
      <c r="AE89" s="122">
        <f t="shared" si="79"/>
        <v>0.60359710426627389</v>
      </c>
      <c r="AF89" s="123">
        <f t="shared" si="80"/>
        <v>0.38733783819964618</v>
      </c>
      <c r="AG89" s="104">
        <f t="shared" si="81"/>
        <v>0.42327378231848561</v>
      </c>
      <c r="AH89" s="104">
        <f t="shared" si="82"/>
        <v>0.46254374638671791</v>
      </c>
      <c r="AI89" s="104">
        <f t="shared" si="83"/>
        <v>0.50545704992538287</v>
      </c>
      <c r="AJ89" s="104">
        <f t="shared" si="84"/>
        <v>0.55235171011406725</v>
      </c>
      <c r="AK89" s="122">
        <f t="shared" si="85"/>
        <v>0.60359710426627389</v>
      </c>
    </row>
    <row r="90" spans="1:47" x14ac:dyDescent="0.15">
      <c r="A90" s="112" t="s">
        <v>154</v>
      </c>
      <c r="B90" s="151">
        <v>-133989</v>
      </c>
      <c r="C90" s="152">
        <f>PreviousYearFigure+Addition.To.RE</f>
        <v>-1886532.1993667423</v>
      </c>
      <c r="D90" s="152">
        <f>PreviousYearFigure+Addition.To.RE</f>
        <v>-6852495.8791319877</v>
      </c>
      <c r="E90" s="152">
        <f>PreviousYearFigure+Addition.To.RE</f>
        <v>-21155236.115863495</v>
      </c>
      <c r="F90" s="152">
        <f>PreviousYearFigure+Addition.To.RE</f>
        <v>-62559761.163449652</v>
      </c>
      <c r="G90" s="152">
        <f>PreviousYearFigure+Addition.To.RE</f>
        <v>-182607217.73024151</v>
      </c>
      <c r="H90" s="188">
        <f>$B90</f>
        <v>-133989</v>
      </c>
      <c r="I90" s="189">
        <f>PreviousYearFigure+Addition.To.RE</f>
        <v>-768525.74713731639</v>
      </c>
      <c r="J90" s="189">
        <f>PreviousYearFigure+Addition.To.RE</f>
        <v>-1390044.1677601913</v>
      </c>
      <c r="K90" s="189">
        <f>PreviousYearFigure+Addition.To.RE</f>
        <v>-2000881.3294299759</v>
      </c>
      <c r="L90" s="189">
        <f>PreviousYearFigure+Addition.To.RE</f>
        <v>-2603321.1132644522</v>
      </c>
      <c r="M90" s="190">
        <f>PreviousYearFigure+Addition.To.RE</f>
        <v>-3199615.8521537324</v>
      </c>
      <c r="N90" s="188">
        <f>$B90</f>
        <v>-133989</v>
      </c>
      <c r="O90" s="189">
        <f>PreviousYearFigure+Addition.To.RE</f>
        <v>-768525.74713731639</v>
      </c>
      <c r="P90" s="189">
        <f>PreviousYearFigure+Addition.To.RE</f>
        <v>-1390044.1677601913</v>
      </c>
      <c r="Q90" s="189">
        <f>PreviousYearFigure+Addition.To.RE</f>
        <v>-2000881.3294299759</v>
      </c>
      <c r="R90" s="189">
        <f>PreviousYearFigure+Addition.To.RE</f>
        <v>-2603321.1132644522</v>
      </c>
      <c r="S90" s="190">
        <f>PreviousYearFigure+Addition.To.RE</f>
        <v>-3199615.8521537324</v>
      </c>
      <c r="T90" s="109">
        <f t="shared" ref="T90:AC91" si="89">B90/B$49</f>
        <v>-0.1379768056365063</v>
      </c>
      <c r="U90" s="104">
        <f t="shared" si="89"/>
        <v>-2.12291500703608</v>
      </c>
      <c r="V90" s="104">
        <f t="shared" si="89"/>
        <v>-8.4265269220303338</v>
      </c>
      <c r="W90" s="104">
        <f t="shared" si="89"/>
        <v>-28.428186188761398</v>
      </c>
      <c r="X90" s="104">
        <f t="shared" si="89"/>
        <v>-91.866633336148823</v>
      </c>
      <c r="Y90" s="104">
        <f t="shared" si="89"/>
        <v>-293.03001209671527</v>
      </c>
      <c r="Z90" s="121">
        <f t="shared" si="89"/>
        <v>-0.1379768056365063</v>
      </c>
      <c r="AA90" s="104">
        <f t="shared" si="89"/>
        <v>-0.86482215487182257</v>
      </c>
      <c r="AB90" s="104">
        <f t="shared" si="89"/>
        <v>-1.7093398973231093</v>
      </c>
      <c r="AC90" s="104">
        <f t="shared" si="89"/>
        <v>-2.6887635128779586</v>
      </c>
      <c r="AD90" s="104">
        <f t="shared" si="78"/>
        <v>-3.8228781843279749</v>
      </c>
      <c r="AE90" s="122">
        <f t="shared" si="79"/>
        <v>-5.1344272341222865</v>
      </c>
      <c r="AF90" s="123">
        <f t="shared" si="80"/>
        <v>-0.1379768056365063</v>
      </c>
      <c r="AG90" s="104">
        <f t="shared" si="81"/>
        <v>-0.86482215487182257</v>
      </c>
      <c r="AH90" s="104">
        <f t="shared" si="82"/>
        <v>-1.7093398973231093</v>
      </c>
      <c r="AI90" s="104">
        <f t="shared" si="83"/>
        <v>-2.6887635128779586</v>
      </c>
      <c r="AJ90" s="104">
        <f t="shared" si="84"/>
        <v>-3.8228781843279749</v>
      </c>
      <c r="AK90" s="122">
        <f t="shared" si="85"/>
        <v>-5.1344272341222865</v>
      </c>
    </row>
    <row r="91" spans="1:47" x14ac:dyDescent="0.15">
      <c r="A91" s="112" t="s">
        <v>158</v>
      </c>
      <c r="B91" s="151">
        <v>-16586</v>
      </c>
      <c r="C91" s="152">
        <f>PreviousYearFigure</f>
        <v>-16586</v>
      </c>
      <c r="D91" s="152">
        <f>PreviousYearFigure</f>
        <v>-16586</v>
      </c>
      <c r="E91" s="152">
        <f>PreviousYearFigure</f>
        <v>-16586</v>
      </c>
      <c r="F91" s="152">
        <f>PreviousYearFigure</f>
        <v>-16586</v>
      </c>
      <c r="G91" s="152">
        <f>PreviousYearFigure</f>
        <v>-16586</v>
      </c>
      <c r="H91" s="188">
        <f>$B91</f>
        <v>-16586</v>
      </c>
      <c r="I91" s="189">
        <f>PreviousYearFigure</f>
        <v>-16586</v>
      </c>
      <c r="J91" s="189">
        <f>PreviousYearFigure</f>
        <v>-16586</v>
      </c>
      <c r="K91" s="189">
        <f>PreviousYearFigure</f>
        <v>-16586</v>
      </c>
      <c r="L91" s="189">
        <f>PreviousYearFigure</f>
        <v>-16586</v>
      </c>
      <c r="M91" s="190">
        <f>PreviousYearFigure</f>
        <v>-16586</v>
      </c>
      <c r="N91" s="188">
        <f>$B91</f>
        <v>-16586</v>
      </c>
      <c r="O91" s="189">
        <f>PreviousYearFigure</f>
        <v>-16586</v>
      </c>
      <c r="P91" s="189">
        <f>PreviousYearFigure</f>
        <v>-16586</v>
      </c>
      <c r="Q91" s="189">
        <f>PreviousYearFigure</f>
        <v>-16586</v>
      </c>
      <c r="R91" s="189">
        <f>PreviousYearFigure</f>
        <v>-16586</v>
      </c>
      <c r="S91" s="190">
        <f>PreviousYearFigure</f>
        <v>-16586</v>
      </c>
      <c r="T91" s="109">
        <f t="shared" si="89"/>
        <v>-1.7079635628947851E-2</v>
      </c>
      <c r="U91" s="104">
        <f t="shared" si="89"/>
        <v>-1.8664228640528739E-2</v>
      </c>
      <c r="V91" s="104">
        <f t="shared" si="89"/>
        <v>-2.0395835035000261E-2</v>
      </c>
      <c r="W91" s="104">
        <f t="shared" si="89"/>
        <v>-2.2288094235602952E-2</v>
      </c>
      <c r="X91" s="104">
        <f t="shared" si="89"/>
        <v>-2.4355911086878977E-2</v>
      </c>
      <c r="Y91" s="104">
        <f t="shared" si="89"/>
        <v>-2.6615573256342454E-2</v>
      </c>
      <c r="Z91" s="121">
        <f t="shared" si="89"/>
        <v>-1.7079635628947851E-2</v>
      </c>
      <c r="AA91" s="104">
        <f t="shared" si="89"/>
        <v>-1.8664228640528739E-2</v>
      </c>
      <c r="AB91" s="104">
        <f t="shared" si="89"/>
        <v>-2.0395835035000261E-2</v>
      </c>
      <c r="AC91" s="104">
        <f t="shared" si="89"/>
        <v>-2.2288094235602952E-2</v>
      </c>
      <c r="AD91" s="104">
        <f t="shared" si="78"/>
        <v>-2.4355911086878977E-2</v>
      </c>
      <c r="AE91" s="122">
        <f t="shared" si="79"/>
        <v>-2.6615573256342454E-2</v>
      </c>
      <c r="AF91" s="123">
        <f t="shared" si="80"/>
        <v>-1.7079635628947851E-2</v>
      </c>
      <c r="AG91" s="104">
        <f t="shared" si="81"/>
        <v>-1.8664228640528739E-2</v>
      </c>
      <c r="AH91" s="104">
        <f t="shared" si="82"/>
        <v>-2.0395835035000261E-2</v>
      </c>
      <c r="AI91" s="104">
        <f t="shared" si="83"/>
        <v>-2.2288094235602952E-2</v>
      </c>
      <c r="AJ91" s="104">
        <f t="shared" si="84"/>
        <v>-2.4355911086878977E-2</v>
      </c>
      <c r="AK91" s="122">
        <f t="shared" si="85"/>
        <v>-2.6615573256342454E-2</v>
      </c>
    </row>
    <row r="92" spans="1:47" x14ac:dyDescent="0.15">
      <c r="A92" s="112" t="s">
        <v>155</v>
      </c>
      <c r="B92" s="154">
        <v>-93169</v>
      </c>
      <c r="C92" s="155">
        <f>PreviousYearFigure-BuyTreasuryStock+IF(Additional.funds_Equity&lt;0,Additional.funds_Equity,0)</f>
        <v>-93169</v>
      </c>
      <c r="D92" s="155">
        <f>PreviousYearFigure-BuyTreasuryStock+IF(Additional.funds_Equity&lt;0,Additional.funds_Equity,0)</f>
        <v>-93169</v>
      </c>
      <c r="E92" s="155">
        <f>PreviousYearFigure-BuyTreasuryStock+IF(Additional.funds_Equity&lt;0,Additional.funds_Equity,0)</f>
        <v>-93169</v>
      </c>
      <c r="F92" s="155">
        <f>PreviousYearFigure-BuyTreasuryStock+IF(Additional.funds_Equity&lt;0,Additional.funds_Equity,0)</f>
        <v>-93169</v>
      </c>
      <c r="G92" s="155">
        <f>PreviousYearFigure-BuyTreasuryStock+IF(Additional.funds_Equity&lt;0,Additional.funds_Equity,0)</f>
        <v>-93169</v>
      </c>
      <c r="H92" s="191">
        <f>$B92</f>
        <v>-93169</v>
      </c>
      <c r="I92" s="155">
        <f>PreviousYearFigure-BuyTreasuryStock+IF(Additional.funds_Equity&lt;0,Additional.funds_Equity,0)</f>
        <v>-93169</v>
      </c>
      <c r="J92" s="155">
        <f>PreviousYearFigure-BuyTreasuryStock+IF(Additional.funds_Equity&lt;0,Additional.funds_Equity,0)</f>
        <v>-93169</v>
      </c>
      <c r="K92" s="155">
        <f>PreviousYearFigure-BuyTreasuryStock+IF(Additional.funds_Equity&lt;0,Additional.funds_Equity,0)</f>
        <v>-93169</v>
      </c>
      <c r="L92" s="155">
        <f>PreviousYearFigure-BuyTreasuryStock+IF(Additional.funds_Equity&lt;0,Additional.funds_Equity,0)</f>
        <v>-93169</v>
      </c>
      <c r="M92" s="192">
        <f>PreviousYearFigure-BuyTreasuryStock+IF(Additional.funds_Equity&lt;0,Additional.funds_Equity,0)</f>
        <v>-93169</v>
      </c>
      <c r="N92" s="191">
        <f>$B92</f>
        <v>-93169</v>
      </c>
      <c r="O92" s="155">
        <f>PreviousYearFigure-BuyTreasuryStock+IF(Additional.funds_Equity&lt;0,Additional.funds_Equity,0)</f>
        <v>-93169</v>
      </c>
      <c r="P92" s="155">
        <f>PreviousYearFigure-BuyTreasuryStock+IF(Additional.funds_Equity&lt;0,Additional.funds_Equity,0)</f>
        <v>-93169</v>
      </c>
      <c r="Q92" s="155">
        <f>PreviousYearFigure-BuyTreasuryStock+IF(Additional.funds_Equity&lt;0,Additional.funds_Equity,0)</f>
        <v>-93169</v>
      </c>
      <c r="R92" s="155">
        <f>PreviousYearFigure-BuyTreasuryStock+IF(Additional.funds_Equity&lt;0,Additional.funds_Equity,0)</f>
        <v>-93169</v>
      </c>
      <c r="S92" s="192">
        <f>PreviousYearFigure-BuyTreasuryStock+IF(Additional.funds_Equity&lt;0,Additional.funds_Equity,0)</f>
        <v>-93169</v>
      </c>
      <c r="T92" s="109">
        <f t="shared" si="68"/>
        <v>-9.5941913174571458E-2</v>
      </c>
      <c r="U92" s="104">
        <f t="shared" si="69"/>
        <v>-0.10484309165618125</v>
      </c>
      <c r="V92" s="104">
        <f t="shared" si="70"/>
        <v>-0.11457009251030625</v>
      </c>
      <c r="W92" s="104">
        <f t="shared" si="71"/>
        <v>-0.12519953284920363</v>
      </c>
      <c r="X92" s="104">
        <f t="shared" si="72"/>
        <v>-0.13681513807147158</v>
      </c>
      <c r="Y92" s="104">
        <f t="shared" si="73"/>
        <v>-0.14950840134572349</v>
      </c>
      <c r="Z92" s="121">
        <f t="shared" si="74"/>
        <v>-9.5941913174571458E-2</v>
      </c>
      <c r="AA92" s="104">
        <f t="shared" si="75"/>
        <v>-0.10484309165618125</v>
      </c>
      <c r="AB92" s="104">
        <f t="shared" si="76"/>
        <v>-0.11457009251030625</v>
      </c>
      <c r="AC92" s="104">
        <f t="shared" si="77"/>
        <v>-0.12519953284920363</v>
      </c>
      <c r="AD92" s="104">
        <f t="shared" si="78"/>
        <v>-0.13681513807147158</v>
      </c>
      <c r="AE92" s="122">
        <f t="shared" si="79"/>
        <v>-0.14950840134572349</v>
      </c>
      <c r="AF92" s="123">
        <f t="shared" si="80"/>
        <v>-9.5941913174571458E-2</v>
      </c>
      <c r="AG92" s="104">
        <f t="shared" si="81"/>
        <v>-0.10484309165618125</v>
      </c>
      <c r="AH92" s="104">
        <f t="shared" si="82"/>
        <v>-0.11457009251030625</v>
      </c>
      <c r="AI92" s="104">
        <f t="shared" si="83"/>
        <v>-0.12519953284920363</v>
      </c>
      <c r="AJ92" s="104">
        <f t="shared" si="84"/>
        <v>-0.13681513807147158</v>
      </c>
      <c r="AK92" s="122">
        <f t="shared" si="85"/>
        <v>-0.14950840134572349</v>
      </c>
    </row>
    <row r="93" spans="1:47" x14ac:dyDescent="0.15">
      <c r="A93" s="112" t="s">
        <v>61</v>
      </c>
      <c r="B93" s="153">
        <f>SUM(B89:B92)</f>
        <v>132399</v>
      </c>
      <c r="C93" s="152">
        <f t="shared" ref="C93:S93" si="90">SUM(C89:C92)</f>
        <v>-1209942.1412732636</v>
      </c>
      <c r="D93" s="152">
        <f t="shared" si="90"/>
        <v>-4992109.5770462044</v>
      </c>
      <c r="E93" s="152">
        <f t="shared" si="90"/>
        <v>-15865221.633738151</v>
      </c>
      <c r="F93" s="152">
        <f t="shared" si="90"/>
        <v>-47322887.692349777</v>
      </c>
      <c r="G93" s="152">
        <f t="shared" si="90"/>
        <v>-138513611.80519888</v>
      </c>
      <c r="H93" s="188">
        <f t="shared" si="90"/>
        <v>132399</v>
      </c>
      <c r="I93" s="189">
        <f t="shared" si="90"/>
        <v>-502137.74713731639</v>
      </c>
      <c r="J93" s="189">
        <f t="shared" si="90"/>
        <v>-1123656.1677601913</v>
      </c>
      <c r="K93" s="189">
        <f t="shared" si="90"/>
        <v>-1734493.3294299759</v>
      </c>
      <c r="L93" s="189">
        <f t="shared" si="90"/>
        <v>-2336933.1132644522</v>
      </c>
      <c r="M93" s="190">
        <f t="shared" si="90"/>
        <v>-2933227.8521537324</v>
      </c>
      <c r="N93" s="188">
        <f t="shared" si="90"/>
        <v>132399</v>
      </c>
      <c r="O93" s="189">
        <f t="shared" si="90"/>
        <v>-502137.74713731639</v>
      </c>
      <c r="P93" s="189">
        <f t="shared" si="90"/>
        <v>-1123656.1677601913</v>
      </c>
      <c r="Q93" s="189">
        <f t="shared" si="90"/>
        <v>-1734493.3294299759</v>
      </c>
      <c r="R93" s="189">
        <f t="shared" si="90"/>
        <v>-2336933.1132644522</v>
      </c>
      <c r="S93" s="190">
        <f t="shared" si="90"/>
        <v>-2933227.8521537324</v>
      </c>
      <c r="T93" s="109">
        <f t="shared" si="68"/>
        <v>0.13633948375962054</v>
      </c>
      <c r="U93" s="104">
        <f t="shared" si="69"/>
        <v>-1.361548098790252</v>
      </c>
      <c r="V93" s="104">
        <f t="shared" si="70"/>
        <v>-6.1388064277148988</v>
      </c>
      <c r="W93" s="104">
        <f t="shared" si="71"/>
        <v>-21.319519766157153</v>
      </c>
      <c r="X93" s="104">
        <f t="shared" si="72"/>
        <v>-69.491863319017881</v>
      </c>
      <c r="Y93" s="104">
        <f t="shared" si="73"/>
        <v>-222.27295200782899</v>
      </c>
      <c r="Z93" s="121">
        <f t="shared" si="74"/>
        <v>0.13633948375962054</v>
      </c>
      <c r="AA93" s="104">
        <f t="shared" si="75"/>
        <v>-0.56505569285004698</v>
      </c>
      <c r="AB93" s="104">
        <f t="shared" si="76"/>
        <v>-1.381762078481698</v>
      </c>
      <c r="AC93" s="104">
        <f t="shared" si="77"/>
        <v>-2.330794090037382</v>
      </c>
      <c r="AD93" s="104">
        <f t="shared" si="78"/>
        <v>-3.4316975233722582</v>
      </c>
      <c r="AE93" s="122">
        <f t="shared" si="79"/>
        <v>-4.7069541044580792</v>
      </c>
      <c r="AF93" s="123">
        <f t="shared" si="80"/>
        <v>0.13633948375962054</v>
      </c>
      <c r="AG93" s="104">
        <f t="shared" si="81"/>
        <v>-0.56505569285004698</v>
      </c>
      <c r="AH93" s="104">
        <f t="shared" si="82"/>
        <v>-1.381762078481698</v>
      </c>
      <c r="AI93" s="104">
        <f t="shared" si="83"/>
        <v>-2.330794090037382</v>
      </c>
      <c r="AJ93" s="104">
        <f t="shared" si="84"/>
        <v>-3.4316975233722582</v>
      </c>
      <c r="AK93" s="122">
        <f t="shared" si="85"/>
        <v>-4.7069541044580792</v>
      </c>
    </row>
    <row r="94" spans="1:47" ht="14" thickBot="1" x14ac:dyDescent="0.2">
      <c r="A94" s="112" t="s">
        <v>62</v>
      </c>
      <c r="B94" s="159">
        <f t="shared" ref="B94:S94" si="91">TotalDebt+PreferredStock+CommonEquity</f>
        <v>813224</v>
      </c>
      <c r="C94" s="160">
        <f t="shared" si="91"/>
        <v>744413.82350000017</v>
      </c>
      <c r="D94" s="160">
        <f t="shared" si="91"/>
        <v>681445.6309848465</v>
      </c>
      <c r="E94" s="160">
        <f t="shared" si="91"/>
        <v>623823.43801422976</v>
      </c>
      <c r="F94" s="160">
        <f t="shared" si="91"/>
        <v>571093.36922681332</v>
      </c>
      <c r="G94" s="160">
        <f t="shared" si="91"/>
        <v>522840.08327949047</v>
      </c>
      <c r="H94" s="195">
        <f t="shared" si="91"/>
        <v>813224</v>
      </c>
      <c r="I94" s="160">
        <f t="shared" si="91"/>
        <v>156394.38066268363</v>
      </c>
      <c r="J94" s="160">
        <f t="shared" si="91"/>
        <v>-485524.24731041119</v>
      </c>
      <c r="K94" s="160">
        <f t="shared" si="91"/>
        <v>-1115029.6387263823</v>
      </c>
      <c r="L94" s="160">
        <f t="shared" si="91"/>
        <v>-1734552.7196015934</v>
      </c>
      <c r="M94" s="196">
        <f t="shared" si="91"/>
        <v>-2346480.3836128507</v>
      </c>
      <c r="N94" s="195">
        <f t="shared" si="91"/>
        <v>813224</v>
      </c>
      <c r="O94" s="160">
        <f t="shared" si="91"/>
        <v>156394.38066268363</v>
      </c>
      <c r="P94" s="160">
        <f t="shared" si="91"/>
        <v>-485524.24731041119</v>
      </c>
      <c r="Q94" s="160">
        <f t="shared" si="91"/>
        <v>-1115029.6387263823</v>
      </c>
      <c r="R94" s="160">
        <f t="shared" si="91"/>
        <v>-1734552.7196015934</v>
      </c>
      <c r="S94" s="196">
        <f t="shared" si="91"/>
        <v>-2346480.3836128507</v>
      </c>
      <c r="T94" s="141">
        <f t="shared" si="68"/>
        <v>0.83742732453367219</v>
      </c>
      <c r="U94" s="139">
        <f t="shared" si="69"/>
        <v>0.8376890030733275</v>
      </c>
      <c r="V94" s="139">
        <f t="shared" si="70"/>
        <v>0.83797495929630972</v>
      </c>
      <c r="W94" s="139">
        <f t="shared" si="71"/>
        <v>0.83828744560707646</v>
      </c>
      <c r="X94" s="139">
        <f t="shared" si="72"/>
        <v>0.83862892338082795</v>
      </c>
      <c r="Y94" s="139">
        <f t="shared" si="73"/>
        <v>0.83900208235122797</v>
      </c>
      <c r="Z94" s="138">
        <f t="shared" si="74"/>
        <v>0.83742732453367219</v>
      </c>
      <c r="AA94" s="139">
        <f t="shared" si="75"/>
        <v>0.17599062334391741</v>
      </c>
      <c r="AB94" s="139">
        <f t="shared" si="76"/>
        <v>-0.59705006955479423</v>
      </c>
      <c r="AC94" s="139">
        <f t="shared" si="77"/>
        <v>-1.4983652275065671</v>
      </c>
      <c r="AD94" s="139">
        <f t="shared" si="78"/>
        <v>-2.5471247928445999</v>
      </c>
      <c r="AE94" s="140">
        <f t="shared" si="79"/>
        <v>-3.7653997675520539</v>
      </c>
      <c r="AF94" s="141">
        <f t="shared" si="80"/>
        <v>0.83742732453367219</v>
      </c>
      <c r="AG94" s="139">
        <f t="shared" si="81"/>
        <v>0.17599062334391741</v>
      </c>
      <c r="AH94" s="139">
        <f t="shared" si="82"/>
        <v>-0.59705006955479423</v>
      </c>
      <c r="AI94" s="139">
        <f t="shared" si="83"/>
        <v>-1.4983652275065671</v>
      </c>
      <c r="AJ94" s="139">
        <f t="shared" si="84"/>
        <v>-2.5471247928445999</v>
      </c>
      <c r="AK94" s="140">
        <f t="shared" si="85"/>
        <v>-3.7653997675520539</v>
      </c>
    </row>
    <row r="95" spans="1:47" ht="15" thickTop="1" thickBot="1" x14ac:dyDescent="0.2">
      <c r="A95" s="112"/>
      <c r="B95" s="153"/>
      <c r="C95" s="312"/>
      <c r="D95" s="312"/>
      <c r="E95" s="312"/>
      <c r="F95" s="312"/>
      <c r="G95" s="312"/>
      <c r="H95" s="239"/>
      <c r="I95" s="313"/>
      <c r="J95" s="313"/>
      <c r="K95" s="313"/>
      <c r="L95" s="313"/>
      <c r="M95" s="314"/>
      <c r="N95" s="239"/>
      <c r="O95" s="313"/>
      <c r="P95" s="313"/>
      <c r="Q95" s="313"/>
      <c r="R95" s="313"/>
      <c r="S95" s="314"/>
      <c r="T95" s="315"/>
      <c r="U95" s="315"/>
      <c r="V95" s="315"/>
      <c r="W95" s="315"/>
      <c r="X95" s="315"/>
      <c r="Y95" s="315"/>
      <c r="Z95" s="316"/>
      <c r="AA95" s="315"/>
      <c r="AB95" s="315"/>
      <c r="AC95" s="315"/>
      <c r="AD95" s="315"/>
      <c r="AE95" s="317"/>
      <c r="AF95" s="315"/>
      <c r="AG95" s="315"/>
      <c r="AH95" s="315"/>
      <c r="AI95" s="315"/>
      <c r="AJ95" s="315"/>
      <c r="AK95" s="317"/>
      <c r="AL95" s="245"/>
      <c r="AM95" s="245"/>
      <c r="AN95" s="245"/>
      <c r="AO95" s="245"/>
      <c r="AP95" s="245"/>
      <c r="AQ95" s="245"/>
      <c r="AR95" s="245"/>
      <c r="AS95" s="245"/>
    </row>
    <row r="96" spans="1:47" x14ac:dyDescent="0.15">
      <c r="A96" s="134" t="s">
        <v>63</v>
      </c>
      <c r="B96" s="318"/>
      <c r="C96" s="312"/>
      <c r="D96" s="312"/>
      <c r="E96" s="312"/>
      <c r="F96" s="312"/>
      <c r="G96" s="312"/>
      <c r="H96" s="319"/>
      <c r="I96" s="313"/>
      <c r="J96" s="313"/>
      <c r="K96" s="313"/>
      <c r="L96" s="313"/>
      <c r="M96" s="314"/>
      <c r="N96" s="319"/>
      <c r="O96" s="313"/>
      <c r="P96" s="313"/>
      <c r="Q96" s="313"/>
      <c r="R96" s="313"/>
      <c r="S96" s="314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  <c r="AN96" s="245"/>
      <c r="AO96" s="245"/>
      <c r="AP96" s="245"/>
      <c r="AQ96" s="245"/>
      <c r="AR96" s="245"/>
      <c r="AS96" s="245"/>
      <c r="AT96" s="235"/>
      <c r="AU96" s="235"/>
    </row>
    <row r="97" spans="1:19" x14ac:dyDescent="0.15">
      <c r="A97" s="112" t="s">
        <v>64</v>
      </c>
      <c r="B97" s="153"/>
      <c r="C97" s="152">
        <f>TotalAssets-TotalLiabilitiesAndEquity</f>
        <v>0</v>
      </c>
      <c r="D97" s="152">
        <f>TotalAssets-TotalLiabilitiesAndEquity</f>
        <v>3.4924596548080444E-9</v>
      </c>
      <c r="E97" s="152">
        <f>TotalAssets-TotalLiabilitiesAndEquity</f>
        <v>6.5192580223083496E-9</v>
      </c>
      <c r="F97" s="152">
        <f>TotalAssets-TotalLiabilitiesAndEquity</f>
        <v>1.4319084584712982E-8</v>
      </c>
      <c r="G97" s="152">
        <f>TotalAssets-TotalLiabilitiesAndEquity</f>
        <v>-2.0489096641540527E-8</v>
      </c>
      <c r="H97" s="197"/>
      <c r="I97" s="189">
        <f>TotalAssets-TotalLiabilitiesAndEquity</f>
        <v>588019.44283731643</v>
      </c>
      <c r="J97" s="189">
        <f>TotalAssets-TotalLiabilitiesAndEquity</f>
        <v>1166969.8782952612</v>
      </c>
      <c r="K97" s="189">
        <f>TotalAssets-TotalLiabilitiesAndEquity</f>
        <v>1738853.0767406186</v>
      </c>
      <c r="L97" s="189">
        <f>TotalAssets-TotalLiabilitiesAndEquity</f>
        <v>2305646.0888284212</v>
      </c>
      <c r="M97" s="190">
        <f>TotalAssets-TotalLiabilitiesAndEquity</f>
        <v>2869320.4668923207</v>
      </c>
      <c r="N97" s="197"/>
      <c r="O97" s="189">
        <f>TotalAssets-TotalLiabilitiesAndEquity</f>
        <v>588019.44283731643</v>
      </c>
      <c r="P97" s="189">
        <f>TotalAssets-TotalLiabilitiesAndEquity</f>
        <v>1166969.8782952612</v>
      </c>
      <c r="Q97" s="189">
        <f>TotalAssets-TotalLiabilitiesAndEquity</f>
        <v>1738853.0767406186</v>
      </c>
      <c r="R97" s="189">
        <f>TotalAssets-TotalLiabilitiesAndEquity</f>
        <v>2305646.0888284212</v>
      </c>
      <c r="S97" s="190">
        <f>TotalAssets-TotalLiabilitiesAndEquity</f>
        <v>2869320.4668923207</v>
      </c>
    </row>
    <row r="98" spans="1:19" ht="14" thickBot="1" x14ac:dyDescent="0.2">
      <c r="A98" s="112"/>
      <c r="B98" s="161"/>
      <c r="C98" s="152"/>
      <c r="D98" s="152"/>
      <c r="E98" s="152"/>
      <c r="F98" s="152"/>
      <c r="G98" s="152"/>
      <c r="H98" s="197"/>
      <c r="I98" s="189"/>
      <c r="J98" s="189"/>
      <c r="K98" s="189"/>
      <c r="L98" s="189"/>
      <c r="M98" s="190"/>
      <c r="N98" s="197"/>
      <c r="O98" s="189"/>
      <c r="P98" s="189"/>
      <c r="Q98" s="189"/>
      <c r="R98" s="189"/>
      <c r="S98" s="190"/>
    </row>
    <row r="99" spans="1:19" ht="15" thickTop="1" thickBot="1" x14ac:dyDescent="0.2">
      <c r="A99" s="102" t="s">
        <v>65</v>
      </c>
      <c r="B99" s="161"/>
      <c r="C99" s="162">
        <v>1706025.8950667423</v>
      </c>
      <c r="D99" s="163">
        <v>4923395.694600313</v>
      </c>
      <c r="E99" s="163">
        <v>14263786.273507077</v>
      </c>
      <c r="F99" s="163">
        <v>41368878.275839478</v>
      </c>
      <c r="G99" s="163">
        <v>120014836.2059665</v>
      </c>
      <c r="H99" s="197"/>
      <c r="I99" s="162">
        <v>0</v>
      </c>
      <c r="J99" s="163">
        <v>0</v>
      </c>
      <c r="K99" s="163">
        <v>0</v>
      </c>
      <c r="L99" s="163">
        <v>0</v>
      </c>
      <c r="M99" s="198">
        <v>0</v>
      </c>
      <c r="N99" s="197"/>
      <c r="O99" s="162">
        <v>0</v>
      </c>
      <c r="P99" s="163">
        <v>0</v>
      </c>
      <c r="Q99" s="163">
        <v>0</v>
      </c>
      <c r="R99" s="163">
        <v>0</v>
      </c>
      <c r="S99" s="198">
        <v>0</v>
      </c>
    </row>
    <row r="100" spans="1:19" ht="14" thickTop="1" x14ac:dyDescent="0.15">
      <c r="A100" s="112" t="s">
        <v>20</v>
      </c>
      <c r="B100" s="161"/>
      <c r="C100" s="152"/>
      <c r="D100" s="152"/>
      <c r="E100" s="152"/>
      <c r="F100" s="152"/>
      <c r="G100" s="152"/>
      <c r="H100" s="188"/>
      <c r="I100" s="189"/>
      <c r="J100" s="189"/>
      <c r="K100" s="189"/>
      <c r="L100" s="189"/>
      <c r="M100" s="190"/>
      <c r="N100" s="188"/>
      <c r="O100" s="189"/>
      <c r="P100" s="189"/>
      <c r="Q100" s="189"/>
      <c r="R100" s="189"/>
      <c r="S100" s="190"/>
    </row>
    <row r="101" spans="1:19" x14ac:dyDescent="0.15">
      <c r="A101" s="112" t="s">
        <v>21</v>
      </c>
      <c r="B101" s="161"/>
      <c r="C101" s="152">
        <f>IF(AFN&gt;=0,AFN*Percent.of.funds_NP,0)</f>
        <v>25715.277926388208</v>
      </c>
      <c r="D101" s="152">
        <f>IF(AFN&gt;=0,AFN*Percent.of.funds_NP,0)</f>
        <v>74211.352239338157</v>
      </c>
      <c r="E101" s="152">
        <f>IF(AFN&gt;=0,AFN*Percent.of.funds_NP,0)</f>
        <v>215000.97352947039</v>
      </c>
      <c r="F101" s="152">
        <f>IF(AFN&gt;=0,AFN*Percent.of.funds_NP,0)</f>
        <v>623561.57983435399</v>
      </c>
      <c r="G101" s="152">
        <f>IF(AFN&gt;=0,AFN*Percent.of.funds_NP,0)</f>
        <v>1809008.2203621238</v>
      </c>
      <c r="H101" s="197"/>
      <c r="I101" s="189">
        <f>IF(AFN&gt;=0,AFN*Percent.of.funds_NP,0)</f>
        <v>0</v>
      </c>
      <c r="J101" s="189">
        <f>IF(AFN&gt;=0,AFN*Percent.of.funds_NP,0)</f>
        <v>0</v>
      </c>
      <c r="K101" s="189">
        <f>IF(AFN&gt;=0,AFN*Percent.of.funds_NP,0)</f>
        <v>0</v>
      </c>
      <c r="L101" s="189">
        <f>IF(AFN&gt;=0,AFN*Percent.of.funds_NP,0)</f>
        <v>0</v>
      </c>
      <c r="M101" s="190">
        <f>IF(AFN&gt;=0,AFN*Percent.of.funds_NP,0)</f>
        <v>0</v>
      </c>
      <c r="N101" s="197"/>
      <c r="O101" s="189">
        <f>IF(AFN&gt;=0,AFN*Percent.of.funds_NP,0)</f>
        <v>0</v>
      </c>
      <c r="P101" s="189">
        <f>IF(AFN&gt;=0,AFN*Percent.of.funds_NP,0)</f>
        <v>0</v>
      </c>
      <c r="Q101" s="189">
        <f>IF(AFN&gt;=0,AFN*Percent.of.funds_NP,0)</f>
        <v>0</v>
      </c>
      <c r="R101" s="189">
        <f>IF(AFN&gt;=0,AFN*Percent.of.funds_NP,0)</f>
        <v>0</v>
      </c>
      <c r="S101" s="190">
        <f>IF(AFN&gt;=0,AFN*Percent.of.funds_NP,0)</f>
        <v>0</v>
      </c>
    </row>
    <row r="102" spans="1:19" x14ac:dyDescent="0.15">
      <c r="A102" s="112" t="s">
        <v>22</v>
      </c>
      <c r="B102" s="161"/>
      <c r="C102" s="152">
        <f>IF(AFN&gt;=0,AFN*Percent.of.funds_Bonds,0)</f>
        <v>1101834.5963943547</v>
      </c>
      <c r="D102" s="152">
        <f>IF(AFN&gt;=0,AFN*Percent.of.funds_Bonds,0)</f>
        <v>3179768.6797933476</v>
      </c>
      <c r="E102" s="152">
        <f>IF(AFN&gt;=0,AFN*Percent.of.funds_Bonds,0)</f>
        <v>9212247.7373710442</v>
      </c>
      <c r="F102" s="152">
        <f>IF(AFN&gt;=0,AFN*Percent.of.funds_Bonds,0)</f>
        <v>26718036.009977184</v>
      </c>
      <c r="G102" s="152">
        <f>IF(AFN&gt;=0,AFN*Percent.of.funds_Bonds,0)</f>
        <v>77511425.23376669</v>
      </c>
      <c r="H102" s="197"/>
      <c r="I102" s="189">
        <f>IF(AFN&gt;=0,AFN*Percent.of.funds_Bonds,0)</f>
        <v>0</v>
      </c>
      <c r="J102" s="189">
        <f>IF(AFN&gt;=0,AFN*Percent.of.funds_Bonds,0)</f>
        <v>0</v>
      </c>
      <c r="K102" s="189">
        <f>IF(AFN&gt;=0,AFN*Percent.of.funds_Bonds,0)</f>
        <v>0</v>
      </c>
      <c r="L102" s="189">
        <f>IF(AFN&gt;=0,AFN*Percent.of.funds_Bonds,0)</f>
        <v>0</v>
      </c>
      <c r="M102" s="190">
        <f>IF(AFN&gt;=0,AFN*Percent.of.funds_Bonds,0)</f>
        <v>0</v>
      </c>
      <c r="N102" s="197"/>
      <c r="O102" s="189">
        <f>IF(AFN&gt;=0,AFN*Percent.of.funds_Bonds,0)</f>
        <v>0</v>
      </c>
      <c r="P102" s="189">
        <f>IF(AFN&gt;=0,AFN*Percent.of.funds_Bonds,0)</f>
        <v>0</v>
      </c>
      <c r="Q102" s="189">
        <f>IF(AFN&gt;=0,AFN*Percent.of.funds_Bonds,0)</f>
        <v>0</v>
      </c>
      <c r="R102" s="189">
        <f>IF(AFN&gt;=0,AFN*Percent.of.funds_Bonds,0)</f>
        <v>0</v>
      </c>
      <c r="S102" s="190">
        <f>IF(AFN&gt;=0,AFN*Percent.of.funds_Bonds,0)</f>
        <v>0</v>
      </c>
    </row>
    <row r="103" spans="1:19" x14ac:dyDescent="0.15">
      <c r="A103" s="112" t="s">
        <v>23</v>
      </c>
      <c r="B103" s="161"/>
      <c r="C103" s="152">
        <f>IF(AFN&gt;=0,AFN*Percent.of.funds_Prfd,0)</f>
        <v>168273.9626525208</v>
      </c>
      <c r="D103" s="152">
        <f>IF(AFN&gt;=0,AFN*Percent.of.funds_Prfd,0)</f>
        <v>485619.41857532208</v>
      </c>
      <c r="E103" s="152">
        <f>IF(AFN&gt;=0,AFN*Percent.of.funds_Prfd,0)</f>
        <v>1406909.3825670029</v>
      </c>
      <c r="F103" s="152">
        <f>IF(AFN&gt;=0,AFN*Percent.of.funds_Prfd,0)</f>
        <v>4080421.6970534055</v>
      </c>
      <c r="G103" s="152">
        <f>IF(AFN&gt;=0,AFN*Percent.of.funds_Prfd,0)</f>
        <v>11837670.297894944</v>
      </c>
      <c r="H103" s="197"/>
      <c r="I103" s="189">
        <f>IF(AFN&gt;=0,AFN*Percent.of.funds_Prfd,0)</f>
        <v>0</v>
      </c>
      <c r="J103" s="189">
        <f>IF(AFN&gt;=0,AFN*Percent.of.funds_Prfd,0)</f>
        <v>0</v>
      </c>
      <c r="K103" s="189">
        <f>IF(AFN&gt;=0,AFN*Percent.of.funds_Prfd,0)</f>
        <v>0</v>
      </c>
      <c r="L103" s="189">
        <f>IF(AFN&gt;=0,AFN*Percent.of.funds_Prfd,0)</f>
        <v>0</v>
      </c>
      <c r="M103" s="190">
        <f>IF(AFN&gt;=0,AFN*Percent.of.funds_Prfd,0)</f>
        <v>0</v>
      </c>
      <c r="N103" s="197"/>
      <c r="O103" s="189">
        <f>IF(AFN&gt;=0,AFN*Percent.of.funds_Prfd,0)</f>
        <v>0</v>
      </c>
      <c r="P103" s="189">
        <f>IF(AFN&gt;=0,AFN*Percent.of.funds_Prfd,0)</f>
        <v>0</v>
      </c>
      <c r="Q103" s="189">
        <f>IF(AFN&gt;=0,AFN*Percent.of.funds_Prfd,0)</f>
        <v>0</v>
      </c>
      <c r="R103" s="189">
        <f>IF(AFN&gt;=0,AFN*Percent.of.funds_Prfd,0)</f>
        <v>0</v>
      </c>
      <c r="S103" s="190">
        <f>IF(AFN&gt;=0,AFN*Percent.of.funds_Prfd,0)</f>
        <v>0</v>
      </c>
    </row>
    <row r="104" spans="1:19" x14ac:dyDescent="0.15">
      <c r="A104" s="112" t="s">
        <v>24</v>
      </c>
      <c r="B104" s="161"/>
      <c r="C104" s="152">
        <f>IF(AFN&gt;=0,AFN*Percent.of.funds_Equity,0)</f>
        <v>410202.05809347861</v>
      </c>
      <c r="D104" s="152">
        <f>IF(AFN&gt;=0,AFN*Percent.of.funds_Equity,0)</f>
        <v>1183796.2439923051</v>
      </c>
      <c r="E104" s="152">
        <f>IF(AFN&gt;=0,AFN*Percent.of.funds_Equity,0)</f>
        <v>3429628.18003956</v>
      </c>
      <c r="F104" s="152">
        <f>IF(AFN&gt;=0,AFN*Percent.of.funds_Equity,0)</f>
        <v>9946858.988974534</v>
      </c>
      <c r="G104" s="152">
        <f>IF(AFN&gt;=0,AFN*Percent.of.funds_Equity,0)</f>
        <v>28856732.45394275</v>
      </c>
      <c r="H104" s="197"/>
      <c r="I104" s="189">
        <f>IF(AFN&gt;=0,AFN*Percent.of.funds_Equity,0)</f>
        <v>0</v>
      </c>
      <c r="J104" s="189">
        <f>IF(AFN&gt;=0,AFN*Percent.of.funds_Equity,0)</f>
        <v>0</v>
      </c>
      <c r="K104" s="189">
        <f>IF(AFN&gt;=0,AFN*Percent.of.funds_Equity,0)</f>
        <v>0</v>
      </c>
      <c r="L104" s="189">
        <f>IF(AFN&gt;=0,AFN*Percent.of.funds_Equity,0)</f>
        <v>0</v>
      </c>
      <c r="M104" s="190">
        <f>IF(AFN&gt;=0,AFN*Percent.of.funds_Equity,0)</f>
        <v>0</v>
      </c>
      <c r="N104" s="197"/>
      <c r="O104" s="189">
        <f>IF(AFN&gt;=0,AFN*Percent.of.funds_Equity,0)</f>
        <v>0</v>
      </c>
      <c r="P104" s="189">
        <f>IF(AFN&gt;=0,AFN*Percent.of.funds_Equity,0)</f>
        <v>0</v>
      </c>
      <c r="Q104" s="189">
        <f>IF(AFN&gt;=0,AFN*Percent.of.funds_Equity,0)</f>
        <v>0</v>
      </c>
      <c r="R104" s="189">
        <f>IF(AFN&gt;=0,AFN*Percent.of.funds_Equity,0)</f>
        <v>0</v>
      </c>
      <c r="S104" s="190">
        <f>IF(AFN&gt;=0,AFN*Percent.of.funds_Equity,0)</f>
        <v>0</v>
      </c>
    </row>
    <row r="105" spans="1:19" x14ac:dyDescent="0.15">
      <c r="A105" s="112" t="s">
        <v>28</v>
      </c>
      <c r="B105" s="161"/>
      <c r="C105" s="152"/>
      <c r="D105" s="152"/>
      <c r="E105" s="152"/>
      <c r="F105" s="152"/>
      <c r="G105" s="152"/>
      <c r="H105" s="197"/>
      <c r="I105" s="189"/>
      <c r="J105" s="189"/>
      <c r="K105" s="189"/>
      <c r="L105" s="189"/>
      <c r="M105" s="190"/>
      <c r="N105" s="197"/>
      <c r="O105" s="189"/>
      <c r="P105" s="189"/>
      <c r="Q105" s="189"/>
      <c r="R105" s="189"/>
      <c r="S105" s="190"/>
    </row>
    <row r="106" spans="1:19" x14ac:dyDescent="0.15">
      <c r="A106" s="112" t="s">
        <v>66</v>
      </c>
      <c r="B106" s="153"/>
      <c r="C106" s="153"/>
      <c r="D106" s="153"/>
      <c r="E106" s="153"/>
      <c r="F106" s="153"/>
      <c r="G106" s="152"/>
      <c r="H106" s="197"/>
      <c r="I106" s="189"/>
      <c r="J106" s="189"/>
      <c r="K106" s="189"/>
      <c r="L106" s="189"/>
      <c r="M106" s="190"/>
      <c r="N106" s="197"/>
      <c r="O106" s="189"/>
      <c r="P106" s="189"/>
      <c r="Q106" s="189"/>
      <c r="R106" s="189"/>
      <c r="S106" s="190"/>
    </row>
    <row r="107" spans="1:19" x14ac:dyDescent="0.15">
      <c r="A107" s="112" t="s">
        <v>30</v>
      </c>
      <c r="B107" s="161"/>
      <c r="C107" s="152">
        <f>IF(AFN&lt;0,-AFN*Percent.of.AF_STInvestments,0)</f>
        <v>0</v>
      </c>
      <c r="D107" s="152">
        <f>IF(AFN&lt;0,-AFN*Percent.of.AF_STInvestments,0)</f>
        <v>0</v>
      </c>
      <c r="E107" s="152">
        <f>IF(AFN&lt;0,-AFN*Percent.of.AF_STInvestments,0)</f>
        <v>0</v>
      </c>
      <c r="F107" s="152">
        <f>IF(AFN&lt;0,-AFN*Percent.of.AF_STInvestments,0)</f>
        <v>0</v>
      </c>
      <c r="G107" s="152">
        <f>IF(AFN&lt;0,-AFN*Percent.of.AF_STInvestments,0)</f>
        <v>0</v>
      </c>
      <c r="H107" s="197"/>
      <c r="I107" s="189">
        <f>IF(AFN&lt;0,-AFN*Percent.of.AF_STInvestments,0)</f>
        <v>0</v>
      </c>
      <c r="J107" s="189">
        <f>IF(AFN&lt;0,-AFN*Percent.of.AF_STInvestments,0)</f>
        <v>0</v>
      </c>
      <c r="K107" s="189">
        <f>IF(AFN&lt;0,-AFN*Percent.of.AF_STInvestments,0)</f>
        <v>0</v>
      </c>
      <c r="L107" s="189">
        <f>IF(AFN&lt;0,-AFN*Percent.of.AF_STInvestments,0)</f>
        <v>0</v>
      </c>
      <c r="M107" s="190">
        <f>IF(AFN&lt;0,-AFN*Percent.of.AF_STInvestments,0)</f>
        <v>0</v>
      </c>
      <c r="N107" s="197"/>
      <c r="O107" s="189">
        <f>IF(AFN&lt;0,-AFN*Percent.of.AF_STInvestments,0)</f>
        <v>0</v>
      </c>
      <c r="P107" s="189">
        <f>IF(AFN&lt;0,-AFN*Percent.of.AF_STInvestments,0)</f>
        <v>0</v>
      </c>
      <c r="Q107" s="189">
        <f>IF(AFN&lt;0,-AFN*Percent.of.AF_STInvestments,0)</f>
        <v>0</v>
      </c>
      <c r="R107" s="189">
        <f>IF(AFN&lt;0,-AFN*Percent.of.AF_STInvestments,0)</f>
        <v>0</v>
      </c>
      <c r="S107" s="190">
        <f>IF(AFN&lt;0,-AFN*Percent.of.AF_STInvestments,0)</f>
        <v>0</v>
      </c>
    </row>
    <row r="108" spans="1:19" x14ac:dyDescent="0.15">
      <c r="A108" s="112" t="s">
        <v>142</v>
      </c>
      <c r="B108" s="161"/>
      <c r="C108" s="152">
        <f>IF(AFN&lt;0,-AFN*Percent.of.AF_OtherNonOpAssets,0)</f>
        <v>0</v>
      </c>
      <c r="D108" s="152">
        <f>IF(AFN&lt;0,-AFN*Percent.of.AF_OtherNonOpAssets,0)</f>
        <v>0</v>
      </c>
      <c r="E108" s="152">
        <f>IF(AFN&lt;0,-AFN*Percent.of.AF_OtherNonOpAssets,0)</f>
        <v>0</v>
      </c>
      <c r="F108" s="152">
        <f>IF(AFN&lt;0,-AFN*Percent.of.AF_OtherNonOpAssets,0)</f>
        <v>0</v>
      </c>
      <c r="G108" s="152">
        <f>IF(AFN&lt;0,-AFN*Percent.of.AF_OtherNonOpAssets,0)</f>
        <v>0</v>
      </c>
      <c r="H108" s="197"/>
      <c r="I108" s="189">
        <f>IF(AFN&lt;0,-AFN*Percent.of.AF_OtherNonOpAssets,0)</f>
        <v>0</v>
      </c>
      <c r="J108" s="189">
        <f>IF(AFN&lt;0,-AFN*Percent.of.AF_OtherNonOpAssets,0)</f>
        <v>0</v>
      </c>
      <c r="K108" s="189">
        <f>IF(AFN&lt;0,-AFN*Percent.of.AF_OtherNonOpAssets,0)</f>
        <v>0</v>
      </c>
      <c r="L108" s="189">
        <f>IF(AFN&lt;0,-AFN*Percent.of.AF_OtherNonOpAssets,0)</f>
        <v>0</v>
      </c>
      <c r="M108" s="190">
        <f>IF(AFN&lt;0,-AFN*Percent.of.AF_OtherNonOpAssets,0)</f>
        <v>0</v>
      </c>
      <c r="N108" s="197"/>
      <c r="O108" s="189">
        <f>IF(AFN&lt;0,-AFN*Percent.of.AF_OtherNonOpAssets,0)</f>
        <v>0</v>
      </c>
      <c r="P108" s="189">
        <f>IF(AFN&lt;0,-AFN*Percent.of.AF_OtherNonOpAssets,0)</f>
        <v>0</v>
      </c>
      <c r="Q108" s="189">
        <f>IF(AFN&lt;0,-AFN*Percent.of.AF_OtherNonOpAssets,0)</f>
        <v>0</v>
      </c>
      <c r="R108" s="189">
        <f>IF(AFN&lt;0,-AFN*Percent.of.AF_OtherNonOpAssets,0)</f>
        <v>0</v>
      </c>
      <c r="S108" s="190">
        <f>IF(AFN&lt;0,-AFN*Percent.of.AF_OtherNonOpAssets,0)</f>
        <v>0</v>
      </c>
    </row>
    <row r="109" spans="1:19" x14ac:dyDescent="0.15">
      <c r="A109" s="112" t="s">
        <v>31</v>
      </c>
      <c r="B109" s="161"/>
      <c r="C109" s="152">
        <f>IF(AFN&lt;0,-AFN*Percent.of.AF_PayDownNP,0)</f>
        <v>0</v>
      </c>
      <c r="D109" s="152">
        <f>IF(AFN&lt;0,-AFN*Percent.of.AF_PayDownNP,0)</f>
        <v>0</v>
      </c>
      <c r="E109" s="152">
        <f>IF(AFN&lt;0,-AFN*Percent.of.AF_PayDownNP,0)</f>
        <v>0</v>
      </c>
      <c r="F109" s="152">
        <f>IF(AFN&lt;0,-AFN*Percent.of.AF_PayDownNP,0)</f>
        <v>0</v>
      </c>
      <c r="G109" s="152">
        <f>IF(AFN&lt;0,-AFN*Percent.of.AF_PayDownNP,0)</f>
        <v>0</v>
      </c>
      <c r="H109" s="197"/>
      <c r="I109" s="189">
        <f>IF(AFN&lt;0,-AFN*Percent.of.AF_PayDownNP,0)</f>
        <v>0</v>
      </c>
      <c r="J109" s="189">
        <f>IF(AFN&lt;0,-AFN*Percent.of.AF_PayDownNP,0)</f>
        <v>0</v>
      </c>
      <c r="K109" s="189">
        <f>IF(AFN&lt;0,-AFN*Percent.of.AF_PayDownNP,0)</f>
        <v>0</v>
      </c>
      <c r="L109" s="189">
        <f>IF(AFN&lt;0,-AFN*Percent.of.AF_PayDownNP,0)</f>
        <v>0</v>
      </c>
      <c r="M109" s="190">
        <f>IF(AFN&lt;0,-AFN*Percent.of.AF_PayDownNP,0)</f>
        <v>0</v>
      </c>
      <c r="N109" s="197"/>
      <c r="O109" s="189">
        <f>IF(AFN&lt;0,-AFN*Percent.of.AF_PayDownNP,0)</f>
        <v>0</v>
      </c>
      <c r="P109" s="189">
        <f>IF(AFN&lt;0,-AFN*Percent.of.AF_PayDownNP,0)</f>
        <v>0</v>
      </c>
      <c r="Q109" s="189">
        <f>IF(AFN&lt;0,-AFN*Percent.of.AF_PayDownNP,0)</f>
        <v>0</v>
      </c>
      <c r="R109" s="189">
        <f>IF(AFN&lt;0,-AFN*Percent.of.AF_PayDownNP,0)</f>
        <v>0</v>
      </c>
      <c r="S109" s="190">
        <f>IF(AFN&lt;0,-AFN*Percent.of.AF_PayDownNP,0)</f>
        <v>0</v>
      </c>
    </row>
    <row r="110" spans="1:19" x14ac:dyDescent="0.15">
      <c r="A110" s="112" t="s">
        <v>32</v>
      </c>
      <c r="B110" s="161"/>
      <c r="C110" s="152">
        <f>IF(AFN&lt;0,-AFN*Percent.of.AF_PayDownLTDebt,0)</f>
        <v>0</v>
      </c>
      <c r="D110" s="152">
        <f>IF(AFN&lt;0,-AFN*Percent.of.AF_PayDownLTDebt,0)</f>
        <v>0</v>
      </c>
      <c r="E110" s="152">
        <f>IF(AFN&lt;0,-AFN*Percent.of.AF_PayDownLTDebt,0)</f>
        <v>0</v>
      </c>
      <c r="F110" s="152">
        <f>IF(AFN&lt;0,-AFN*Percent.of.AF_PayDownLTDebt,0)</f>
        <v>0</v>
      </c>
      <c r="G110" s="152">
        <f>IF(AFN&lt;0,-AFN*Percent.of.AF_PayDownLTDebt,0)</f>
        <v>0</v>
      </c>
      <c r="H110" s="197"/>
      <c r="I110" s="189">
        <f>IF(AFN&lt;0,-AFN*Percent.of.AF_PayDownLTDebt,0)</f>
        <v>0</v>
      </c>
      <c r="J110" s="189">
        <f>IF(AFN&lt;0,-AFN*Percent.of.AF_PayDownLTDebt,0)</f>
        <v>0</v>
      </c>
      <c r="K110" s="189">
        <f>IF(AFN&lt;0,-AFN*Percent.of.AF_PayDownLTDebt,0)</f>
        <v>0</v>
      </c>
      <c r="L110" s="189">
        <f>IF(AFN&lt;0,-AFN*Percent.of.AF_PayDownLTDebt,0)</f>
        <v>0</v>
      </c>
      <c r="M110" s="190">
        <f>IF(AFN&lt;0,-AFN*Percent.of.AF_PayDownLTDebt,0)</f>
        <v>0</v>
      </c>
      <c r="N110" s="197"/>
      <c r="O110" s="189">
        <f>IF(AFN&lt;0,-AFN*Percent.of.AF_PayDownLTDebt,0)</f>
        <v>0</v>
      </c>
      <c r="P110" s="189">
        <f>IF(AFN&lt;0,-AFN*Percent.of.AF_PayDownLTDebt,0)</f>
        <v>0</v>
      </c>
      <c r="Q110" s="189">
        <f>IF(AFN&lt;0,-AFN*Percent.of.AF_PayDownLTDebt,0)</f>
        <v>0</v>
      </c>
      <c r="R110" s="189">
        <f>IF(AFN&lt;0,-AFN*Percent.of.AF_PayDownLTDebt,0)</f>
        <v>0</v>
      </c>
      <c r="S110" s="190">
        <f>IF(AFN&lt;0,-AFN*Percent.of.AF_PayDownLTDebt,0)</f>
        <v>0</v>
      </c>
    </row>
    <row r="111" spans="1:19" x14ac:dyDescent="0.15">
      <c r="A111" s="112" t="s">
        <v>33</v>
      </c>
      <c r="B111" s="161"/>
      <c r="C111" s="152">
        <f>IF(AFN&lt;0,-AFN*Percent.of.AF_BuyTreasryStock,0)</f>
        <v>0</v>
      </c>
      <c r="D111" s="152">
        <f>IF(AFN&lt;0,-AFN*Percent.of.AF_BuyTreasryStock,0)</f>
        <v>0</v>
      </c>
      <c r="E111" s="152">
        <f>IF(AFN&lt;0,-AFN*Percent.of.AF_BuyTreasryStock,0)</f>
        <v>0</v>
      </c>
      <c r="F111" s="152">
        <f>IF(AFN&lt;0,-AFN*Percent.of.AF_BuyTreasryStock,0)</f>
        <v>0</v>
      </c>
      <c r="G111" s="152">
        <f>IF(AFN&lt;0,-AFN*Percent.of.AF_BuyTreasryStock,0)</f>
        <v>0</v>
      </c>
      <c r="H111" s="197"/>
      <c r="I111" s="189">
        <f>IF(AFN&lt;0,-AFN*Percent.of.AF_BuyTreasryStock,0)</f>
        <v>0</v>
      </c>
      <c r="J111" s="189">
        <f>IF(AFN&lt;0,-AFN*Percent.of.AF_BuyTreasryStock,0)</f>
        <v>0</v>
      </c>
      <c r="K111" s="189">
        <f>IF(AFN&lt;0,-AFN*Percent.of.AF_BuyTreasryStock,0)</f>
        <v>0</v>
      </c>
      <c r="L111" s="189">
        <f>IF(AFN&lt;0,-AFN*Percent.of.AF_BuyTreasryStock,0)</f>
        <v>0</v>
      </c>
      <c r="M111" s="190">
        <f>IF(AFN&lt;0,-AFN*Percent.of.AF_BuyTreasryStock,0)</f>
        <v>0</v>
      </c>
      <c r="N111" s="197"/>
      <c r="O111" s="189">
        <f>IF(AFN&lt;0,-AFN*Percent.of.AF_BuyTreasryStock,0)</f>
        <v>0</v>
      </c>
      <c r="P111" s="189">
        <f>IF(AFN&lt;0,-AFN*Percent.of.AF_BuyTreasryStock,0)</f>
        <v>0</v>
      </c>
      <c r="Q111" s="189">
        <f>IF(AFN&lt;0,-AFN*Percent.of.AF_BuyTreasryStock,0)</f>
        <v>0</v>
      </c>
      <c r="R111" s="189">
        <f>IF(AFN&lt;0,-AFN*Percent.of.AF_BuyTreasryStock,0)</f>
        <v>0</v>
      </c>
      <c r="S111" s="190">
        <f>IF(AFN&lt;0,-AFN*Percent.of.AF_BuyTreasryStock,0)</f>
        <v>0</v>
      </c>
    </row>
    <row r="112" spans="1:19" x14ac:dyDescent="0.15">
      <c r="A112" s="112" t="s">
        <v>67</v>
      </c>
      <c r="B112" s="161"/>
      <c r="C112" s="152">
        <f>IF(AFN&lt;0,-AFN*Percent.of.AF_PayDividend,0)</f>
        <v>0</v>
      </c>
      <c r="D112" s="152">
        <f>IF(AFN&lt;0,-AFN*Percent.of.AF_PayDividend,0)</f>
        <v>0</v>
      </c>
      <c r="E112" s="152">
        <f>IF(AFN&lt;0,-AFN*Percent.of.AF_PayDividend,0)</f>
        <v>0</v>
      </c>
      <c r="F112" s="152">
        <f>IF(AFN&lt;0,-AFN*Percent.of.AF_PayDividend,0)</f>
        <v>0</v>
      </c>
      <c r="G112" s="152">
        <f>IF(AFN&lt;0,-AFN*Percent.of.AF_PayDividend,0)</f>
        <v>0</v>
      </c>
      <c r="H112" s="197"/>
      <c r="I112" s="189">
        <f>IF(AFN&lt;0,-AFN*Percent.of.AF_PayDividend,0)</f>
        <v>0</v>
      </c>
      <c r="J112" s="189">
        <f>IF(AFN&lt;0,-AFN*Percent.of.AF_PayDividend,0)</f>
        <v>0</v>
      </c>
      <c r="K112" s="189">
        <f>IF(AFN&lt;0,-AFN*Percent.of.AF_PayDividend,0)</f>
        <v>0</v>
      </c>
      <c r="L112" s="189">
        <f>IF(AFN&lt;0,-AFN*Percent.of.AF_PayDividend,0)</f>
        <v>0</v>
      </c>
      <c r="M112" s="190">
        <f>IF(AFN&lt;0,-AFN*Percent.of.AF_PayDividend,0)</f>
        <v>0</v>
      </c>
      <c r="N112" s="197"/>
      <c r="O112" s="189">
        <f>IF(AFN&lt;0,-AFN*Percent.of.AF_PayDividend,0)</f>
        <v>0</v>
      </c>
      <c r="P112" s="189">
        <f>IF(AFN&lt;0,-AFN*Percent.of.AF_PayDividend,0)</f>
        <v>0</v>
      </c>
      <c r="Q112" s="189">
        <f>IF(AFN&lt;0,-AFN*Percent.of.AF_PayDividend,0)</f>
        <v>0</v>
      </c>
      <c r="R112" s="189">
        <f>IF(AFN&lt;0,-AFN*Percent.of.AF_PayDividend,0)</f>
        <v>0</v>
      </c>
      <c r="S112" s="190">
        <f>IF(AFN&lt;0,-AFN*Percent.of.AF_PayDividend,0)</f>
        <v>0</v>
      </c>
    </row>
    <row r="113" spans="1:48" x14ac:dyDescent="0.15">
      <c r="A113" s="112"/>
      <c r="B113" s="161"/>
      <c r="C113" s="152"/>
      <c r="D113" s="152"/>
      <c r="E113" s="152"/>
      <c r="F113" s="152"/>
      <c r="G113" s="152"/>
      <c r="H113" s="197"/>
      <c r="I113" s="189"/>
      <c r="J113" s="189"/>
      <c r="K113" s="189"/>
      <c r="L113" s="189"/>
      <c r="M113" s="190"/>
      <c r="N113" s="197"/>
      <c r="O113" s="189"/>
      <c r="P113" s="189"/>
      <c r="Q113" s="189"/>
      <c r="R113" s="189"/>
      <c r="S113" s="190"/>
    </row>
    <row r="114" spans="1:48" x14ac:dyDescent="0.15">
      <c r="A114" s="112" t="s">
        <v>68</v>
      </c>
      <c r="B114" s="161"/>
      <c r="C114" s="152">
        <f>InterestRate_ST*(Additional.funds_NP-PayDownNP-PlugInToSTInvestments)+InterestRate_LT*(Additional.funds_Bonds-PayDownLTDebt-PlugInToLTInvestments)</f>
        <v>1110189.9860302138</v>
      </c>
      <c r="D114" s="152">
        <f>InterestRate_ST*(Additional.funds_NP-PayDownNP-PlugInToSTInvestments)+InterestRate_LT*(Additional.funds_Bonds-PayDownLTDebt-PlugInToLTInvestments)</f>
        <v>3203881.3790664659</v>
      </c>
      <c r="E114" s="152">
        <f>InterestRate_ST*(Additional.funds_NP-PayDownNP-PlugInToSTInvestments)+InterestRate_LT*(Additional.funds_Bonds-PayDownLTDebt-PlugInToLTInvestments)</f>
        <v>9282105.6992826406</v>
      </c>
      <c r="F114" s="152">
        <f>InterestRate_ST*(Additional.funds_NP-PayDownNP-PlugInToSTInvestments)+InterestRate_LT*(Additional.funds_Bonds-PayDownLTDebt-PlugInToLTInvestments)</f>
        <v>26920643.190672729</v>
      </c>
      <c r="G114" s="152">
        <f>InterestRate_ST*(Additional.funds_NP-PayDownNP-PlugInToSTInvestments)+InterestRate_LT*(Additional.funds_Bonds-PayDownLTDebt-PlugInToLTInvestments)</f>
        <v>78099206.885548368</v>
      </c>
      <c r="H114" s="197"/>
      <c r="I114" s="189">
        <f>InterestRate_ST*(Additional.funds_NP-PayDownNP-PlugInToSTInvestments)+InterestRate_LT*(Additional.funds_Bonds-PayDownLTDebt-PlugInToLTInvestments)</f>
        <v>0</v>
      </c>
      <c r="J114" s="189">
        <f>InterestRate_ST*(Additional.funds_NP-PayDownNP-PlugInToSTInvestments)+InterestRate_LT*(Additional.funds_Bonds-PayDownLTDebt-PlugInToLTInvestments)</f>
        <v>0</v>
      </c>
      <c r="K114" s="189">
        <f>InterestRate_ST*(Additional.funds_NP-PayDownNP-PlugInToSTInvestments)+InterestRate_LT*(Additional.funds_Bonds-PayDownLTDebt-PlugInToLTInvestments)</f>
        <v>0</v>
      </c>
      <c r="L114" s="189">
        <f>InterestRate_ST*(Additional.funds_NP-PayDownNP-PlugInToSTInvestments)+InterestRate_LT*(Additional.funds_Bonds-PayDownLTDebt-PlugInToLTInvestments)</f>
        <v>0</v>
      </c>
      <c r="M114" s="190">
        <f>InterestRate_ST*(Additional.funds_NP-PayDownNP-PlugInToSTInvestments)+InterestRate_LT*(Additional.funds_Bonds-PayDownLTDebt-PlugInToLTInvestments)</f>
        <v>0</v>
      </c>
      <c r="N114" s="197"/>
      <c r="O114" s="189">
        <f>InterestRate_ST*(Additional.funds_NP-PayDownNP-PlugInToSTInvestments)+InterestRate_LT*(Additional.funds_Bonds-PayDownLTDebt-PlugInToLTInvestments)</f>
        <v>0</v>
      </c>
      <c r="P114" s="189">
        <f>InterestRate_ST*(Additional.funds_NP-PayDownNP-PlugInToSTInvestments)+InterestRate_LT*(Additional.funds_Bonds-PayDownLTDebt-PlugInToLTInvestments)</f>
        <v>0</v>
      </c>
      <c r="Q114" s="189">
        <f>InterestRate_ST*(Additional.funds_NP-PayDownNP-PlugInToSTInvestments)+InterestRate_LT*(Additional.funds_Bonds-PayDownLTDebt-PlugInToLTInvestments)</f>
        <v>0</v>
      </c>
      <c r="R114" s="189">
        <f>InterestRate_ST*(Additional.funds_NP-PayDownNP-PlugInToSTInvestments)+InterestRate_LT*(Additional.funds_Bonds-PayDownLTDebt-PlugInToLTInvestments)</f>
        <v>0</v>
      </c>
      <c r="S114" s="190">
        <f>InterestRate_ST*(Additional.funds_NP-PayDownNP-PlugInToSTInvestments)+InterestRate_LT*(Additional.funds_Bonds-PayDownLTDebt-PlugInToLTInvestments)</f>
        <v>0</v>
      </c>
    </row>
    <row r="115" spans="1:48" x14ac:dyDescent="0.15">
      <c r="A115" s="143" t="s">
        <v>162</v>
      </c>
      <c r="B115" s="161"/>
      <c r="C115" s="164">
        <f>(Additional.funds_Equity-BuyTreasuryStock)/$B137</f>
        <v>27493.435529053528</v>
      </c>
      <c r="D115" s="164">
        <f>(Additional.funds_Equity-BuyTreasuryStock)/$B137</f>
        <v>79342.911795730906</v>
      </c>
      <c r="E115" s="164">
        <f>(Additional.funds_Equity-BuyTreasuryStock)/$B137</f>
        <v>229867.8404852252</v>
      </c>
      <c r="F115" s="164">
        <f>(Additional.funds_Equity-BuyTreasuryStock)/$B137</f>
        <v>666679.55690177844</v>
      </c>
      <c r="G115" s="164">
        <f>(Additional.funds_Equity-BuyTreasuryStock)/$B137</f>
        <v>1934097.3494599699</v>
      </c>
      <c r="H115" s="197"/>
      <c r="I115" s="199">
        <f>(Additional.funds_Equity-BuyTreasuryStock)/$B137</f>
        <v>0</v>
      </c>
      <c r="J115" s="199">
        <f>(Additional.funds_Equity-BuyTreasuryStock)/$B137</f>
        <v>0</v>
      </c>
      <c r="K115" s="199">
        <f>(Additional.funds_Equity-BuyTreasuryStock)/$B137</f>
        <v>0</v>
      </c>
      <c r="L115" s="199">
        <f>(Additional.funds_Equity-BuyTreasuryStock)/$B137</f>
        <v>0</v>
      </c>
      <c r="M115" s="200">
        <f>(Additional.funds_Equity-BuyTreasuryStock)/$B137</f>
        <v>0</v>
      </c>
      <c r="N115" s="197"/>
      <c r="O115" s="199">
        <f>(Additional.funds_Equity-BuyTreasuryStock)/$B137</f>
        <v>0</v>
      </c>
      <c r="P115" s="199">
        <f>(Additional.funds_Equity-BuyTreasuryStock)/$B137</f>
        <v>0</v>
      </c>
      <c r="Q115" s="199">
        <f>(Additional.funds_Equity-BuyTreasuryStock)/$B137</f>
        <v>0</v>
      </c>
      <c r="R115" s="199">
        <f>(Additional.funds_Equity-BuyTreasuryStock)/$B137</f>
        <v>0</v>
      </c>
      <c r="S115" s="200">
        <f>(Additional.funds_Equity-BuyTreasuryStock)/$B137</f>
        <v>0</v>
      </c>
    </row>
    <row r="116" spans="1:48" x14ac:dyDescent="0.15">
      <c r="A116" s="112" t="s">
        <v>69</v>
      </c>
      <c r="B116" s="153"/>
      <c r="C116" s="152">
        <f>DPS*AdditionalShares+PayAdditionalDividend</f>
        <v>0</v>
      </c>
      <c r="D116" s="152">
        <f>DPS*AdditionalShares+PayAdditionalDividend</f>
        <v>0</v>
      </c>
      <c r="E116" s="152">
        <f>DPS*AdditionalShares+PayAdditionalDividend</f>
        <v>0</v>
      </c>
      <c r="F116" s="152">
        <f>DPS*AdditionalShares+PayAdditionalDividend</f>
        <v>0</v>
      </c>
      <c r="G116" s="152">
        <f>DPS*AdditionalShares+PayAdditionalDividend</f>
        <v>0</v>
      </c>
      <c r="H116" s="188"/>
      <c r="I116" s="189">
        <f>DPS*AdditionalShares+PayAdditionalDividend</f>
        <v>0</v>
      </c>
      <c r="J116" s="189">
        <f>DPS*AdditionalShares+PayAdditionalDividend</f>
        <v>0</v>
      </c>
      <c r="K116" s="189">
        <f>DPS*AdditionalShares+PayAdditionalDividend</f>
        <v>0</v>
      </c>
      <c r="L116" s="189">
        <f>DPS*AdditionalShares+PayAdditionalDividend</f>
        <v>0</v>
      </c>
      <c r="M116" s="190">
        <f>DPS*AdditionalShares+PayAdditionalDividend</f>
        <v>0</v>
      </c>
      <c r="N116" s="188"/>
      <c r="O116" s="189">
        <f>DPS*AdditionalShares+PayAdditionalDividend</f>
        <v>0</v>
      </c>
      <c r="P116" s="189">
        <f>DPS*AdditionalShares+PayAdditionalDividend</f>
        <v>0</v>
      </c>
      <c r="Q116" s="189">
        <f>DPS*AdditionalShares+PayAdditionalDividend</f>
        <v>0</v>
      </c>
      <c r="R116" s="189">
        <f>DPS*AdditionalShares+PayAdditionalDividend</f>
        <v>0</v>
      </c>
      <c r="S116" s="190">
        <f>DPS*AdditionalShares+PayAdditionalDividend</f>
        <v>0</v>
      </c>
    </row>
    <row r="117" spans="1:48" x14ac:dyDescent="0.15">
      <c r="A117" s="112" t="s">
        <v>70</v>
      </c>
      <c r="B117" s="153"/>
      <c r="C117" s="152">
        <f>Additional.funds_Prfd*DivRate.Prfd</f>
        <v>0</v>
      </c>
      <c r="D117" s="152">
        <f>Additional.funds_Prfd*DivRate.Prfd</f>
        <v>0</v>
      </c>
      <c r="E117" s="152">
        <f>Additional.funds_Prfd*DivRate.Prfd</f>
        <v>0</v>
      </c>
      <c r="F117" s="152">
        <f>Additional.funds_Prfd*DivRate.Prfd</f>
        <v>0</v>
      </c>
      <c r="G117" s="152">
        <f>Additional.funds_Prfd*DivRate.Prfd</f>
        <v>0</v>
      </c>
      <c r="H117" s="188"/>
      <c r="I117" s="189">
        <f>Additional.funds_Prfd*DivRate.Prfd</f>
        <v>0</v>
      </c>
      <c r="J117" s="189">
        <f>Additional.funds_Prfd*DivRate.Prfd</f>
        <v>0</v>
      </c>
      <c r="K117" s="189">
        <f>Additional.funds_Prfd*DivRate.Prfd</f>
        <v>0</v>
      </c>
      <c r="L117" s="189">
        <f>Additional.funds_Prfd*DivRate.Prfd</f>
        <v>0</v>
      </c>
      <c r="M117" s="190">
        <f>Additional.funds_Prfd*DivRate.Prfd</f>
        <v>0</v>
      </c>
      <c r="N117" s="188"/>
      <c r="O117" s="189">
        <f>Additional.funds_Prfd*DivRate.Prfd</f>
        <v>0</v>
      </c>
      <c r="P117" s="189">
        <f>Additional.funds_Prfd*DivRate.Prfd</f>
        <v>0</v>
      </c>
      <c r="Q117" s="189">
        <f>Additional.funds_Prfd*DivRate.Prfd</f>
        <v>0</v>
      </c>
      <c r="R117" s="189">
        <f>Additional.funds_Prfd*DivRate.Prfd</f>
        <v>0</v>
      </c>
      <c r="S117" s="190">
        <f>Additional.funds_Prfd*DivRate.Prfd</f>
        <v>0</v>
      </c>
    </row>
    <row r="118" spans="1:48" x14ac:dyDescent="0.15">
      <c r="B118" s="165"/>
      <c r="C118" s="165"/>
      <c r="D118" s="165"/>
      <c r="E118" s="165"/>
      <c r="F118" s="165"/>
      <c r="G118" s="165"/>
      <c r="H118" s="201"/>
      <c r="I118" s="202"/>
      <c r="J118" s="202"/>
      <c r="K118" s="202"/>
      <c r="L118" s="202"/>
      <c r="M118" s="203"/>
      <c r="N118" s="201"/>
      <c r="O118" s="202"/>
      <c r="P118" s="202"/>
      <c r="Q118" s="202"/>
      <c r="R118" s="202"/>
      <c r="S118" s="203"/>
    </row>
    <row r="119" spans="1:48" x14ac:dyDescent="0.15">
      <c r="A119" s="142" t="s">
        <v>71</v>
      </c>
      <c r="B119" s="236"/>
      <c r="C119" s="237"/>
      <c r="D119" s="237"/>
      <c r="E119" s="237"/>
      <c r="F119" s="237"/>
      <c r="G119" s="238"/>
      <c r="H119" s="239"/>
      <c r="I119" s="240"/>
      <c r="J119" s="240"/>
      <c r="K119" s="240"/>
      <c r="L119" s="240"/>
      <c r="M119" s="241"/>
      <c r="N119" s="239"/>
      <c r="O119" s="240"/>
      <c r="P119" s="240"/>
      <c r="Q119" s="240"/>
      <c r="R119" s="240"/>
      <c r="S119" s="241"/>
      <c r="T119" s="242"/>
      <c r="U119" s="242"/>
      <c r="V119" s="242"/>
      <c r="W119" s="242"/>
      <c r="X119" s="242"/>
      <c r="Y119" s="242"/>
      <c r="Z119" s="242"/>
      <c r="AA119" s="242"/>
      <c r="AB119" s="242"/>
      <c r="AC119" s="242"/>
      <c r="AD119" s="242"/>
      <c r="AE119" s="242"/>
      <c r="AF119" s="242"/>
      <c r="AG119" s="242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35"/>
      <c r="AV119" s="235"/>
    </row>
    <row r="120" spans="1:48" x14ac:dyDescent="0.15">
      <c r="A120" s="112" t="s">
        <v>72</v>
      </c>
      <c r="B120" s="269">
        <f t="shared" ref="B120:M120" si="92">EBIT*(1-TaxRate)</f>
        <v>-190456.56413634392</v>
      </c>
      <c r="C120" s="152">
        <f t="shared" si="92"/>
        <v>-174286.80184116823</v>
      </c>
      <c r="D120" s="152">
        <f t="shared" si="92"/>
        <v>-159489.85236485317</v>
      </c>
      <c r="E120" s="152">
        <f t="shared" si="92"/>
        <v>-145949.16389907704</v>
      </c>
      <c r="F120" s="152">
        <f t="shared" si="92"/>
        <v>-133558.07988404544</v>
      </c>
      <c r="G120" s="190">
        <f t="shared" si="92"/>
        <v>-122218.99890188997</v>
      </c>
      <c r="H120" s="270">
        <f t="shared" si="92"/>
        <v>-190456.56413634392</v>
      </c>
      <c r="I120" s="189">
        <f t="shared" si="92"/>
        <v>-174286.80184116823</v>
      </c>
      <c r="J120" s="189">
        <f t="shared" si="92"/>
        <v>-159489.85236485317</v>
      </c>
      <c r="K120" s="189">
        <f t="shared" si="92"/>
        <v>-145949.16389907704</v>
      </c>
      <c r="L120" s="189">
        <f t="shared" si="92"/>
        <v>-133558.07988404544</v>
      </c>
      <c r="M120" s="190">
        <f t="shared" si="92"/>
        <v>-122218.99890188997</v>
      </c>
      <c r="N120" s="270" t="s">
        <v>171</v>
      </c>
      <c r="O120" s="189">
        <f>EBIT*(1-TaxRate)</f>
        <v>-174286.80184116823</v>
      </c>
      <c r="P120" s="189">
        <f>EBIT*(1-TaxRate)</f>
        <v>-159489.85236485317</v>
      </c>
      <c r="Q120" s="189">
        <f>EBIT*(1-TaxRate)</f>
        <v>-145949.16389907704</v>
      </c>
      <c r="R120" s="189">
        <f>EBIT*(1-TaxRate)</f>
        <v>-133558.07988404544</v>
      </c>
      <c r="S120" s="190">
        <f>EBIT*(1-TaxRate)</f>
        <v>-122218.99890188997</v>
      </c>
    </row>
    <row r="121" spans="1:48" x14ac:dyDescent="0.15">
      <c r="A121" s="112" t="s">
        <v>73</v>
      </c>
      <c r="B121" s="152">
        <f t="shared" ref="B121:S121" si="93">(Cash+AccountsReceivable+Inventories+OtherCurrentAssets+NPPE+Intangibles.OtherAssets)-(AccountsPayable+Accruals+OtherLiab.related.to.Sales)</f>
        <v>547907</v>
      </c>
      <c r="C121" s="152">
        <f t="shared" si="93"/>
        <v>501389.69570000004</v>
      </c>
      <c r="D121" s="152">
        <f t="shared" si="93"/>
        <v>458821.71053506999</v>
      </c>
      <c r="E121" s="152">
        <f t="shared" si="93"/>
        <v>419867.74731064262</v>
      </c>
      <c r="F121" s="152">
        <f t="shared" si="93"/>
        <v>384220.975563969</v>
      </c>
      <c r="G121" s="190">
        <f t="shared" si="93"/>
        <v>351600.6147385881</v>
      </c>
      <c r="H121" s="152">
        <f t="shared" si="93"/>
        <v>547907</v>
      </c>
      <c r="I121" s="189">
        <f t="shared" si="93"/>
        <v>501389.69570000004</v>
      </c>
      <c r="J121" s="189">
        <f t="shared" si="93"/>
        <v>458821.71053506999</v>
      </c>
      <c r="K121" s="189">
        <f t="shared" si="93"/>
        <v>419867.74731064262</v>
      </c>
      <c r="L121" s="189">
        <f t="shared" si="93"/>
        <v>384220.975563969</v>
      </c>
      <c r="M121" s="190">
        <f t="shared" si="93"/>
        <v>351600.6147385881</v>
      </c>
      <c r="N121" s="152">
        <f t="shared" si="93"/>
        <v>547907</v>
      </c>
      <c r="O121" s="189">
        <f t="shared" si="93"/>
        <v>501389.69570000004</v>
      </c>
      <c r="P121" s="189">
        <f t="shared" si="93"/>
        <v>458821.71053506999</v>
      </c>
      <c r="Q121" s="189">
        <f t="shared" si="93"/>
        <v>419867.74731064262</v>
      </c>
      <c r="R121" s="189">
        <f t="shared" si="93"/>
        <v>384220.975563969</v>
      </c>
      <c r="S121" s="190">
        <f t="shared" si="93"/>
        <v>351600.6147385881</v>
      </c>
    </row>
    <row r="122" spans="1:48" ht="14" thickBot="1" x14ac:dyDescent="0.2">
      <c r="A122" s="112" t="s">
        <v>74</v>
      </c>
      <c r="B122" s="243"/>
      <c r="C122" s="152">
        <f>ThisYearFigure-LastYearFigure</f>
        <v>-46517.30429999996</v>
      </c>
      <c r="D122" s="152">
        <f>ThisYearFigure-LastYearFigure</f>
        <v>-42567.985164930054</v>
      </c>
      <c r="E122" s="152">
        <f>ThisYearFigure-LastYearFigure</f>
        <v>-38953.963224427367</v>
      </c>
      <c r="F122" s="152">
        <f>ThisYearFigure-LastYearFigure</f>
        <v>-35646.771746673621</v>
      </c>
      <c r="G122" s="152">
        <f>ThisYearFigure-LastYearFigure</f>
        <v>-32620.360825380892</v>
      </c>
      <c r="H122" s="205"/>
      <c r="I122" s="189">
        <f>ThisYearFigure-LastYearFigure</f>
        <v>-46517.30429999996</v>
      </c>
      <c r="J122" s="189">
        <f>ThisYearFigure-LastYearFigure</f>
        <v>-42567.985164930054</v>
      </c>
      <c r="K122" s="189">
        <f>ThisYearFigure-LastYearFigure</f>
        <v>-38953.963224427367</v>
      </c>
      <c r="L122" s="189">
        <f>ThisYearFigure-LastYearFigure</f>
        <v>-35646.771746673621</v>
      </c>
      <c r="M122" s="190">
        <f>ThisYearFigure-LastYearFigure</f>
        <v>-32620.360825380892</v>
      </c>
      <c r="N122" s="205"/>
      <c r="O122" s="189">
        <f>ThisYearFigure-LastYearFigure</f>
        <v>-46517.30429999996</v>
      </c>
      <c r="P122" s="189">
        <f>ThisYearFigure-LastYearFigure</f>
        <v>-42567.985164930054</v>
      </c>
      <c r="Q122" s="189">
        <f>ThisYearFigure-LastYearFigure</f>
        <v>-38953.963224427367</v>
      </c>
      <c r="R122" s="189">
        <f>ThisYearFigure-LastYearFigure</f>
        <v>-35646.771746673621</v>
      </c>
      <c r="S122" s="190">
        <f>ThisYearFigure-LastYearFigure</f>
        <v>-32620.360825380892</v>
      </c>
    </row>
    <row r="123" spans="1:48" ht="15" thickTop="1" thickBot="1" x14ac:dyDescent="0.2">
      <c r="A123" s="144" t="s">
        <v>75</v>
      </c>
      <c r="B123" s="244"/>
      <c r="C123" s="166">
        <f>NOPAT-Investment.in.Op.Capital</f>
        <v>-127769.49754116827</v>
      </c>
      <c r="D123" s="166">
        <f>NOPAT-Investment.in.Op.Capital</f>
        <v>-116921.86719992312</v>
      </c>
      <c r="E123" s="166">
        <f>NOPAT-Investment.in.Op.Capital</f>
        <v>-106995.20067464968</v>
      </c>
      <c r="F123" s="166">
        <f>NOPAT-Investment.in.Op.Capital</f>
        <v>-97911.308137371816</v>
      </c>
      <c r="G123" s="166">
        <f>NOPAT-Investment.in.Op.Capital</f>
        <v>-89598.638076509073</v>
      </c>
      <c r="H123" s="206"/>
      <c r="I123" s="166">
        <f>NOPAT-Investment.in.Op.Capital</f>
        <v>-127769.49754116827</v>
      </c>
      <c r="J123" s="166">
        <f>NOPAT-Investment.in.Op.Capital</f>
        <v>-116921.86719992312</v>
      </c>
      <c r="K123" s="166">
        <f>NOPAT-Investment.in.Op.Capital</f>
        <v>-106995.20067464968</v>
      </c>
      <c r="L123" s="166">
        <f>NOPAT-Investment.in.Op.Capital</f>
        <v>-97911.308137371816</v>
      </c>
      <c r="M123" s="207">
        <f>NOPAT-Investment.in.Op.Capital</f>
        <v>-89598.638076509073</v>
      </c>
      <c r="N123" s="206"/>
      <c r="O123" s="166">
        <f>NOPAT-Investment.in.Op.Capital</f>
        <v>-127769.49754116827</v>
      </c>
      <c r="P123" s="166">
        <f>NOPAT-Investment.in.Op.Capital</f>
        <v>-116921.86719992312</v>
      </c>
      <c r="Q123" s="166">
        <f>NOPAT-Investment.in.Op.Capital</f>
        <v>-106995.20067464968</v>
      </c>
      <c r="R123" s="166">
        <f>NOPAT-Investment.in.Op.Capital</f>
        <v>-97911.308137371816</v>
      </c>
      <c r="S123" s="207">
        <f>NOPAT-Investment.in.Op.Capital</f>
        <v>-89598.638076509073</v>
      </c>
    </row>
    <row r="124" spans="1:48" ht="14" thickTop="1" x14ac:dyDescent="0.15">
      <c r="A124" s="112"/>
      <c r="B124" s="165"/>
      <c r="C124" s="152"/>
      <c r="D124" s="152"/>
      <c r="E124" s="152"/>
      <c r="F124" s="152"/>
      <c r="G124" s="152"/>
      <c r="H124" s="201"/>
      <c r="I124" s="189"/>
      <c r="J124" s="189"/>
      <c r="K124" s="189"/>
      <c r="L124" s="189"/>
      <c r="M124" s="190"/>
      <c r="N124" s="201"/>
      <c r="O124" s="189"/>
      <c r="P124" s="189"/>
      <c r="Q124" s="189"/>
      <c r="R124" s="189"/>
      <c r="S124" s="190"/>
    </row>
    <row r="125" spans="1:48" x14ac:dyDescent="0.15">
      <c r="A125" s="142" t="s">
        <v>76</v>
      </c>
      <c r="B125" s="165"/>
      <c r="C125" s="152"/>
      <c r="D125" s="152"/>
      <c r="E125" s="152"/>
      <c r="F125" s="152"/>
      <c r="G125" s="165"/>
      <c r="H125" s="201"/>
      <c r="I125" s="189"/>
      <c r="J125" s="189"/>
      <c r="K125" s="189"/>
      <c r="L125" s="189"/>
      <c r="M125" s="203"/>
      <c r="N125" s="201"/>
      <c r="O125" s="189"/>
      <c r="P125" s="189"/>
      <c r="Q125" s="189"/>
      <c r="R125" s="189"/>
      <c r="S125" s="203"/>
    </row>
    <row r="126" spans="1:48" x14ac:dyDescent="0.15">
      <c r="A126" s="112" t="s">
        <v>77</v>
      </c>
      <c r="B126" s="165"/>
      <c r="C126" s="152"/>
      <c r="D126" s="152"/>
      <c r="E126" s="152"/>
      <c r="F126" s="152"/>
      <c r="G126" s="152" t="e">
        <f>Year5.A FCF*(1+ConstantGrowthRate.of.FCF)/(WACC.A-ConstantGrowthRate.of.FCF)</f>
        <v>#DIV/0!</v>
      </c>
      <c r="H126" s="201"/>
      <c r="I126" s="189"/>
      <c r="J126" s="189"/>
      <c r="K126" s="189"/>
      <c r="L126" s="189"/>
      <c r="M126" s="190" t="e">
        <f>Year5.B FCF*(1+ConstantGrowthRate.of.FCF)/(WACC.B-ConstantGrowthRate.of.FCF)</f>
        <v>#DIV/0!</v>
      </c>
      <c r="N126" s="201"/>
      <c r="O126" s="189"/>
      <c r="P126" s="189"/>
      <c r="Q126" s="189"/>
      <c r="R126" s="189"/>
      <c r="S126" s="190" t="e">
        <f>Year5.C FCF*(1+ConstantGrowthRate.of.FCF)/(WACC.C-ConstantGrowthRate.of.FCF)</f>
        <v>#DIV/0!</v>
      </c>
    </row>
    <row r="127" spans="1:48" x14ac:dyDescent="0.15">
      <c r="A127" s="112" t="s">
        <v>78</v>
      </c>
      <c r="B127" s="165"/>
      <c r="C127" s="152">
        <f>FCF+HorizonValue</f>
        <v>-127769.49754116827</v>
      </c>
      <c r="D127" s="152">
        <f>FCF+HorizonValue</f>
        <v>-116921.86719992312</v>
      </c>
      <c r="E127" s="152">
        <f>FCF+HorizonValue</f>
        <v>-106995.20067464968</v>
      </c>
      <c r="F127" s="152">
        <f>FCF+HorizonValue</f>
        <v>-97911.308137371816</v>
      </c>
      <c r="G127" s="152" t="e">
        <f>FCF+HorizonValue</f>
        <v>#DIV/0!</v>
      </c>
      <c r="H127" s="201"/>
      <c r="I127" s="189">
        <f>FCF+HorizonValue</f>
        <v>-127769.49754116827</v>
      </c>
      <c r="J127" s="189">
        <f>FCF+HorizonValue</f>
        <v>-116921.86719992312</v>
      </c>
      <c r="K127" s="189">
        <f>FCF+HorizonValue</f>
        <v>-106995.20067464968</v>
      </c>
      <c r="L127" s="189">
        <f>FCF+HorizonValue</f>
        <v>-97911.308137371816</v>
      </c>
      <c r="M127" s="190" t="e">
        <f>FCF+HorizonValue</f>
        <v>#DIV/0!</v>
      </c>
      <c r="N127" s="201"/>
      <c r="O127" s="189">
        <f>FCF+HorizonValue</f>
        <v>-127769.49754116827</v>
      </c>
      <c r="P127" s="189">
        <f>FCF+HorizonValue</f>
        <v>-116921.86719992312</v>
      </c>
      <c r="Q127" s="189">
        <f>FCF+HorizonValue</f>
        <v>-106995.20067464968</v>
      </c>
      <c r="R127" s="189">
        <f>FCF+HorizonValue</f>
        <v>-97911.308137371816</v>
      </c>
      <c r="S127" s="190" t="e">
        <f>FCF+HorizonValue</f>
        <v>#DIV/0!</v>
      </c>
    </row>
    <row r="128" spans="1:48" x14ac:dyDescent="0.15">
      <c r="A128" s="112" t="s">
        <v>79</v>
      </c>
      <c r="B128" s="152" t="e">
        <f>NPV(WACC.A,CashFlows.A)</f>
        <v>#DIV/0!</v>
      </c>
      <c r="C128" s="152" t="e">
        <f>NPV(WACC.A,D127:$G127)</f>
        <v>#DIV/0!</v>
      </c>
      <c r="D128" s="152" t="e">
        <f>NPV(WACC.A,E127:$G127)</f>
        <v>#DIV/0!</v>
      </c>
      <c r="E128" s="152" t="e">
        <f>NPV(WACC.A,F127:$G127)</f>
        <v>#DIV/0!</v>
      </c>
      <c r="F128" s="152" t="e">
        <f>NPV(WACC.A,G127:$G127)</f>
        <v>#DIV/0!</v>
      </c>
      <c r="G128" s="152" t="e">
        <f>HorizonValue+Year5.A FCF</f>
        <v>#DIV/0!</v>
      </c>
      <c r="H128" s="204" t="e">
        <f>NPV(WACC.B,CashFlows.B)</f>
        <v>#DIV/0!</v>
      </c>
      <c r="I128" s="189" t="e">
        <f>NPV(WACC.B,J127:$M127)</f>
        <v>#DIV/0!</v>
      </c>
      <c r="J128" s="189" t="e">
        <f>NPV(WACC.B,K127:$M127)</f>
        <v>#DIV/0!</v>
      </c>
      <c r="K128" s="189" t="e">
        <f>NPV(WACC.B,L127:$M127)</f>
        <v>#DIV/0!</v>
      </c>
      <c r="L128" s="189" t="e">
        <f>NPV(WACC.B,M127:$M127)</f>
        <v>#DIV/0!</v>
      </c>
      <c r="M128" s="190" t="e">
        <f>HorizonValue+Year5.B FCF</f>
        <v>#DIV/0!</v>
      </c>
      <c r="N128" s="204" t="e">
        <f>NPV(WACC.C,CashFlows.C)</f>
        <v>#DIV/0!</v>
      </c>
      <c r="O128" s="189" t="e">
        <f>NPV(WACC.C,P127:$S127)</f>
        <v>#DIV/0!</v>
      </c>
      <c r="P128" s="189" t="e">
        <f>NPV(WACC.C,Q127:$S127)</f>
        <v>#DIV/0!</v>
      </c>
      <c r="Q128" s="189" t="e">
        <f>NPV(WACC.C,R127:$S127)</f>
        <v>#DIV/0!</v>
      </c>
      <c r="R128" s="189" t="e">
        <f>NPV(WACC.C,$S127:S127)</f>
        <v>#DIV/0!</v>
      </c>
      <c r="S128" s="190" t="e">
        <f>HorizonValue+Year5.C FCF</f>
        <v>#DIV/0!</v>
      </c>
    </row>
    <row r="129" spans="1:29" x14ac:dyDescent="0.15">
      <c r="A129" s="112" t="s">
        <v>80</v>
      </c>
      <c r="B129" s="152">
        <f t="shared" ref="B129:S129" si="94">STInvestments+LTInvestments</f>
        <v>2739</v>
      </c>
      <c r="C129" s="152">
        <f t="shared" si="94"/>
        <v>2739</v>
      </c>
      <c r="D129" s="152">
        <f t="shared" si="94"/>
        <v>2739</v>
      </c>
      <c r="E129" s="152">
        <f t="shared" si="94"/>
        <v>2739</v>
      </c>
      <c r="F129" s="152">
        <f t="shared" si="94"/>
        <v>2739</v>
      </c>
      <c r="G129" s="152">
        <f t="shared" si="94"/>
        <v>2739</v>
      </c>
      <c r="H129" s="204">
        <f t="shared" si="94"/>
        <v>2739</v>
      </c>
      <c r="I129" s="189">
        <f t="shared" si="94"/>
        <v>2739</v>
      </c>
      <c r="J129" s="189">
        <f t="shared" si="94"/>
        <v>2739</v>
      </c>
      <c r="K129" s="189">
        <f t="shared" si="94"/>
        <v>2739</v>
      </c>
      <c r="L129" s="189">
        <f t="shared" si="94"/>
        <v>2739</v>
      </c>
      <c r="M129" s="190">
        <f t="shared" si="94"/>
        <v>2739</v>
      </c>
      <c r="N129" s="204">
        <f t="shared" si="94"/>
        <v>2739</v>
      </c>
      <c r="O129" s="189">
        <f t="shared" si="94"/>
        <v>2739</v>
      </c>
      <c r="P129" s="189">
        <f t="shared" si="94"/>
        <v>2739</v>
      </c>
      <c r="Q129" s="189">
        <f t="shared" si="94"/>
        <v>2739</v>
      </c>
      <c r="R129" s="189">
        <f t="shared" si="94"/>
        <v>2739</v>
      </c>
      <c r="S129" s="190">
        <f t="shared" si="94"/>
        <v>2739</v>
      </c>
    </row>
    <row r="130" spans="1:29" x14ac:dyDescent="0.15">
      <c r="A130" s="112" t="s">
        <v>81</v>
      </c>
      <c r="B130" s="152" t="e">
        <f t="shared" ref="B130:S130" si="95">Value.of.Operation+NonOperatingCapital</f>
        <v>#DIV/0!</v>
      </c>
      <c r="C130" s="152" t="e">
        <f t="shared" si="95"/>
        <v>#DIV/0!</v>
      </c>
      <c r="D130" s="152" t="e">
        <f t="shared" si="95"/>
        <v>#DIV/0!</v>
      </c>
      <c r="E130" s="152" t="e">
        <f t="shared" si="95"/>
        <v>#DIV/0!</v>
      </c>
      <c r="F130" s="152" t="e">
        <f t="shared" si="95"/>
        <v>#DIV/0!</v>
      </c>
      <c r="G130" s="152" t="e">
        <f t="shared" si="95"/>
        <v>#DIV/0!</v>
      </c>
      <c r="H130" s="204" t="e">
        <f t="shared" si="95"/>
        <v>#DIV/0!</v>
      </c>
      <c r="I130" s="189" t="e">
        <f t="shared" si="95"/>
        <v>#DIV/0!</v>
      </c>
      <c r="J130" s="189" t="e">
        <f t="shared" si="95"/>
        <v>#DIV/0!</v>
      </c>
      <c r="K130" s="189" t="e">
        <f t="shared" si="95"/>
        <v>#DIV/0!</v>
      </c>
      <c r="L130" s="189" t="e">
        <f t="shared" si="95"/>
        <v>#DIV/0!</v>
      </c>
      <c r="M130" s="190" t="e">
        <f t="shared" si="95"/>
        <v>#DIV/0!</v>
      </c>
      <c r="N130" s="204" t="e">
        <f t="shared" si="95"/>
        <v>#DIV/0!</v>
      </c>
      <c r="O130" s="189" t="e">
        <f t="shared" si="95"/>
        <v>#DIV/0!</v>
      </c>
      <c r="P130" s="189" t="e">
        <f t="shared" si="95"/>
        <v>#DIV/0!</v>
      </c>
      <c r="Q130" s="189" t="e">
        <f t="shared" si="95"/>
        <v>#DIV/0!</v>
      </c>
      <c r="R130" s="189" t="e">
        <f t="shared" si="95"/>
        <v>#DIV/0!</v>
      </c>
      <c r="S130" s="190" t="e">
        <f t="shared" si="95"/>
        <v>#DIV/0!</v>
      </c>
    </row>
    <row r="131" spans="1:29" x14ac:dyDescent="0.15">
      <c r="A131" s="112"/>
      <c r="B131" s="165"/>
      <c r="C131" s="152"/>
      <c r="D131" s="152"/>
      <c r="E131" s="152"/>
      <c r="F131" s="152"/>
      <c r="G131" s="152"/>
      <c r="H131" s="201"/>
      <c r="I131" s="189"/>
      <c r="J131" s="189"/>
      <c r="K131" s="189"/>
      <c r="L131" s="189"/>
      <c r="M131" s="190"/>
      <c r="N131" s="201"/>
      <c r="O131" s="189"/>
      <c r="P131" s="189"/>
      <c r="Q131" s="189"/>
      <c r="R131" s="189"/>
      <c r="S131" s="190"/>
    </row>
    <row r="132" spans="1:29" x14ac:dyDescent="0.15">
      <c r="A132" s="142" t="s">
        <v>82</v>
      </c>
      <c r="B132" s="318"/>
      <c r="C132" s="318"/>
      <c r="D132" s="320"/>
      <c r="E132" s="320"/>
      <c r="F132" s="320"/>
      <c r="G132" s="320"/>
      <c r="H132" s="321"/>
      <c r="I132" s="322"/>
      <c r="J132" s="322"/>
      <c r="K132" s="322"/>
      <c r="L132" s="322"/>
      <c r="M132" s="323"/>
      <c r="N132" s="321"/>
      <c r="O132" s="322"/>
      <c r="P132" s="322"/>
      <c r="Q132" s="322"/>
      <c r="R132" s="322"/>
      <c r="S132" s="323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</row>
    <row r="133" spans="1:29" x14ac:dyDescent="0.15">
      <c r="A133" s="112" t="s">
        <v>81</v>
      </c>
      <c r="B133" s="152" t="e">
        <f t="shared" ref="B133:S133" si="96">Value.of.the.Firm</f>
        <v>#DIV/0!</v>
      </c>
      <c r="C133" s="152" t="e">
        <f t="shared" si="96"/>
        <v>#DIV/0!</v>
      </c>
      <c r="D133" s="152" t="e">
        <f t="shared" si="96"/>
        <v>#DIV/0!</v>
      </c>
      <c r="E133" s="152" t="e">
        <f t="shared" si="96"/>
        <v>#DIV/0!</v>
      </c>
      <c r="F133" s="152" t="e">
        <f t="shared" si="96"/>
        <v>#DIV/0!</v>
      </c>
      <c r="G133" s="152" t="e">
        <f t="shared" si="96"/>
        <v>#DIV/0!</v>
      </c>
      <c r="H133" s="204" t="e">
        <f t="shared" si="96"/>
        <v>#DIV/0!</v>
      </c>
      <c r="I133" s="189" t="e">
        <f t="shared" si="96"/>
        <v>#DIV/0!</v>
      </c>
      <c r="J133" s="189" t="e">
        <f t="shared" si="96"/>
        <v>#DIV/0!</v>
      </c>
      <c r="K133" s="189" t="e">
        <f t="shared" si="96"/>
        <v>#DIV/0!</v>
      </c>
      <c r="L133" s="189" t="e">
        <f t="shared" si="96"/>
        <v>#DIV/0!</v>
      </c>
      <c r="M133" s="190" t="e">
        <f t="shared" si="96"/>
        <v>#DIV/0!</v>
      </c>
      <c r="N133" s="204" t="e">
        <f t="shared" si="96"/>
        <v>#DIV/0!</v>
      </c>
      <c r="O133" s="189" t="e">
        <f t="shared" si="96"/>
        <v>#DIV/0!</v>
      </c>
      <c r="P133" s="189" t="e">
        <f t="shared" si="96"/>
        <v>#DIV/0!</v>
      </c>
      <c r="Q133" s="189" t="e">
        <f t="shared" si="96"/>
        <v>#DIV/0!</v>
      </c>
      <c r="R133" s="189" t="e">
        <f t="shared" si="96"/>
        <v>#DIV/0!</v>
      </c>
      <c r="S133" s="190" t="e">
        <f t="shared" si="96"/>
        <v>#DIV/0!</v>
      </c>
    </row>
    <row r="134" spans="1:29" x14ac:dyDescent="0.15">
      <c r="A134" s="112" t="s">
        <v>83</v>
      </c>
      <c r="B134" s="152">
        <f t="shared" ref="B134:S134" si="97">NotesPayable+LongTermDebt+PreferredStock</f>
        <v>418247</v>
      </c>
      <c r="C134" s="152">
        <f t="shared" si="97"/>
        <v>1714070.8369732636</v>
      </c>
      <c r="D134" s="152">
        <f t="shared" si="97"/>
        <v>5453670.2875812706</v>
      </c>
      <c r="E134" s="152">
        <f t="shared" si="97"/>
        <v>16287828.381048787</v>
      </c>
      <c r="F134" s="152">
        <f t="shared" si="97"/>
        <v>47709847.667913727</v>
      </c>
      <c r="G134" s="152">
        <f t="shared" si="97"/>
        <v>138867951.41993749</v>
      </c>
      <c r="H134" s="204">
        <f t="shared" si="97"/>
        <v>418247</v>
      </c>
      <c r="I134" s="189">
        <f t="shared" si="97"/>
        <v>418247</v>
      </c>
      <c r="J134" s="189">
        <f t="shared" si="97"/>
        <v>418247</v>
      </c>
      <c r="K134" s="189">
        <f t="shared" si="97"/>
        <v>418247</v>
      </c>
      <c r="L134" s="189">
        <f t="shared" si="97"/>
        <v>418247</v>
      </c>
      <c r="M134" s="190">
        <f t="shared" si="97"/>
        <v>418247</v>
      </c>
      <c r="N134" s="204">
        <f t="shared" si="97"/>
        <v>418247</v>
      </c>
      <c r="O134" s="189">
        <f t="shared" si="97"/>
        <v>418247</v>
      </c>
      <c r="P134" s="189">
        <f t="shared" si="97"/>
        <v>418247</v>
      </c>
      <c r="Q134" s="189">
        <f t="shared" si="97"/>
        <v>418247</v>
      </c>
      <c r="R134" s="189">
        <f t="shared" si="97"/>
        <v>418247</v>
      </c>
      <c r="S134" s="190">
        <f t="shared" si="97"/>
        <v>418247</v>
      </c>
    </row>
    <row r="135" spans="1:29" ht="14" thickBot="1" x14ac:dyDescent="0.2">
      <c r="A135" s="112" t="s">
        <v>84</v>
      </c>
      <c r="B135" s="152" t="e">
        <f t="shared" ref="B135:S135" si="98">B133-B134</f>
        <v>#DIV/0!</v>
      </c>
      <c r="C135" s="152" t="e">
        <f t="shared" si="98"/>
        <v>#DIV/0!</v>
      </c>
      <c r="D135" s="152" t="e">
        <f t="shared" si="98"/>
        <v>#DIV/0!</v>
      </c>
      <c r="E135" s="152" t="e">
        <f t="shared" si="98"/>
        <v>#DIV/0!</v>
      </c>
      <c r="F135" s="152" t="e">
        <f t="shared" si="98"/>
        <v>#DIV/0!</v>
      </c>
      <c r="G135" s="152" t="e">
        <f t="shared" si="98"/>
        <v>#DIV/0!</v>
      </c>
      <c r="H135" s="408" t="e">
        <f t="shared" si="98"/>
        <v>#DIV/0!</v>
      </c>
      <c r="I135" s="189" t="e">
        <f t="shared" si="98"/>
        <v>#DIV/0!</v>
      </c>
      <c r="J135" s="189" t="e">
        <f t="shared" si="98"/>
        <v>#DIV/0!</v>
      </c>
      <c r="K135" s="189" t="e">
        <f t="shared" si="98"/>
        <v>#DIV/0!</v>
      </c>
      <c r="L135" s="189" t="e">
        <f t="shared" si="98"/>
        <v>#DIV/0!</v>
      </c>
      <c r="M135" s="190" t="e">
        <f t="shared" si="98"/>
        <v>#DIV/0!</v>
      </c>
      <c r="N135" s="408" t="e">
        <f t="shared" si="98"/>
        <v>#DIV/0!</v>
      </c>
      <c r="O135" s="189" t="e">
        <f t="shared" si="98"/>
        <v>#DIV/0!</v>
      </c>
      <c r="P135" s="189" t="e">
        <f t="shared" si="98"/>
        <v>#DIV/0!</v>
      </c>
      <c r="Q135" s="189" t="e">
        <f t="shared" si="98"/>
        <v>#DIV/0!</v>
      </c>
      <c r="R135" s="189" t="e">
        <f t="shared" si="98"/>
        <v>#DIV/0!</v>
      </c>
      <c r="S135" s="190" t="e">
        <f t="shared" si="98"/>
        <v>#DIV/0!</v>
      </c>
    </row>
    <row r="136" spans="1:29" ht="15" thickTop="1" thickBot="1" x14ac:dyDescent="0.2">
      <c r="A136" s="144" t="s">
        <v>143</v>
      </c>
      <c r="B136" s="406" t="e">
        <f t="shared" ref="B136:S136" si="99">Value.of.Total.Common.Equity/No.Of.Shares</f>
        <v>#DIV/0!</v>
      </c>
      <c r="C136" s="115" t="e">
        <f t="shared" si="99"/>
        <v>#DIV/0!</v>
      </c>
      <c r="D136" s="115" t="e">
        <f t="shared" si="99"/>
        <v>#DIV/0!</v>
      </c>
      <c r="E136" s="115" t="e">
        <f t="shared" si="99"/>
        <v>#DIV/0!</v>
      </c>
      <c r="F136" s="115" t="e">
        <f t="shared" si="99"/>
        <v>#DIV/0!</v>
      </c>
      <c r="G136" s="115" t="e">
        <f t="shared" si="99"/>
        <v>#DIV/0!</v>
      </c>
      <c r="H136" s="409" t="e">
        <f t="shared" si="99"/>
        <v>#DIV/0!</v>
      </c>
      <c r="I136" s="185" t="e">
        <f t="shared" si="99"/>
        <v>#DIV/0!</v>
      </c>
      <c r="J136" s="185" t="e">
        <f t="shared" si="99"/>
        <v>#DIV/0!</v>
      </c>
      <c r="K136" s="185" t="e">
        <f t="shared" si="99"/>
        <v>#DIV/0!</v>
      </c>
      <c r="L136" s="185" t="e">
        <f t="shared" si="99"/>
        <v>#DIV/0!</v>
      </c>
      <c r="M136" s="186" t="e">
        <f t="shared" si="99"/>
        <v>#DIV/0!</v>
      </c>
      <c r="N136" s="409" t="e">
        <f t="shared" si="99"/>
        <v>#DIV/0!</v>
      </c>
      <c r="O136" s="185" t="e">
        <f t="shared" si="99"/>
        <v>#DIV/0!</v>
      </c>
      <c r="P136" s="185" t="e">
        <f t="shared" si="99"/>
        <v>#DIV/0!</v>
      </c>
      <c r="Q136" s="185" t="e">
        <f t="shared" si="99"/>
        <v>#DIV/0!</v>
      </c>
      <c r="R136" s="185" t="e">
        <f t="shared" si="99"/>
        <v>#DIV/0!</v>
      </c>
      <c r="S136" s="186" t="e">
        <f t="shared" si="99"/>
        <v>#DIV/0!</v>
      </c>
    </row>
    <row r="137" spans="1:29" ht="14" thickTop="1" x14ac:dyDescent="0.15">
      <c r="A137" s="112" t="s">
        <v>85</v>
      </c>
      <c r="B137" s="407">
        <f>B44</f>
        <v>14.92</v>
      </c>
      <c r="C137" s="115" t="e">
        <f>EstimatedStockPrice</f>
        <v>#DIV/0!</v>
      </c>
      <c r="D137" s="115" t="e">
        <f>EstimatedStockPrice</f>
        <v>#DIV/0!</v>
      </c>
      <c r="E137" s="115" t="e">
        <f>EstimatedStockPrice</f>
        <v>#DIV/0!</v>
      </c>
      <c r="F137" s="115" t="e">
        <f>EstimatedStockPrice</f>
        <v>#DIV/0!</v>
      </c>
      <c r="G137" s="115" t="e">
        <f>EstimatedStockPrice</f>
        <v>#DIV/0!</v>
      </c>
      <c r="H137" s="208">
        <f>H44</f>
        <v>14.92</v>
      </c>
      <c r="I137" s="185" t="e">
        <f>EstimatedStockPrice</f>
        <v>#DIV/0!</v>
      </c>
      <c r="J137" s="185" t="e">
        <f>EstimatedStockPrice</f>
        <v>#DIV/0!</v>
      </c>
      <c r="K137" s="185" t="e">
        <f>EstimatedStockPrice</f>
        <v>#DIV/0!</v>
      </c>
      <c r="L137" s="185" t="e">
        <f>EstimatedStockPrice</f>
        <v>#DIV/0!</v>
      </c>
      <c r="M137" s="186" t="e">
        <f>EstimatedStockPrice</f>
        <v>#DIV/0!</v>
      </c>
      <c r="N137" s="208">
        <f>N44</f>
        <v>14.92</v>
      </c>
      <c r="O137" s="185" t="e">
        <f>EstimatedStockPrice</f>
        <v>#DIV/0!</v>
      </c>
      <c r="P137" s="185" t="e">
        <f>EstimatedStockPrice</f>
        <v>#DIV/0!</v>
      </c>
      <c r="Q137" s="185" t="e">
        <f>EstimatedStockPrice</f>
        <v>#DIV/0!</v>
      </c>
      <c r="R137" s="185" t="e">
        <f>EstimatedStockPrice</f>
        <v>#DIV/0!</v>
      </c>
      <c r="S137" s="186" t="e">
        <f>EstimatedStockPrice</f>
        <v>#DIV/0!</v>
      </c>
    </row>
    <row r="138" spans="1:29" x14ac:dyDescent="0.15">
      <c r="A138" s="112"/>
      <c r="B138" s="167"/>
      <c r="C138" s="115"/>
      <c r="D138" s="115"/>
      <c r="E138" s="115"/>
      <c r="F138" s="115"/>
      <c r="G138" s="115"/>
      <c r="H138" s="208"/>
      <c r="I138" s="185"/>
      <c r="J138" s="185"/>
      <c r="K138" s="185"/>
      <c r="L138" s="185"/>
      <c r="M138" s="186"/>
      <c r="N138" s="208"/>
      <c r="O138" s="185"/>
      <c r="P138" s="185"/>
      <c r="Q138" s="185"/>
      <c r="R138" s="185"/>
      <c r="S138" s="186"/>
    </row>
    <row r="139" spans="1:29" s="258" customFormat="1" x14ac:dyDescent="0.15">
      <c r="A139" s="275" t="s">
        <v>172</v>
      </c>
      <c r="B139" s="281"/>
      <c r="C139" s="277"/>
      <c r="D139" s="277"/>
      <c r="E139" s="277"/>
      <c r="F139" s="277"/>
      <c r="G139" s="277"/>
      <c r="H139" s="278"/>
      <c r="I139" s="279"/>
      <c r="J139" s="279"/>
      <c r="K139" s="279"/>
      <c r="L139" s="279"/>
      <c r="M139" s="280"/>
      <c r="N139" s="278"/>
      <c r="O139" s="279"/>
      <c r="P139" s="279"/>
      <c r="Q139" s="279"/>
      <c r="R139" s="279"/>
      <c r="S139" s="280"/>
    </row>
    <row r="140" spans="1:29" s="258" customFormat="1" x14ac:dyDescent="0.15">
      <c r="A140" s="275" t="s">
        <v>165</v>
      </c>
      <c r="B140" s="281"/>
      <c r="C140" s="271"/>
      <c r="D140" s="271"/>
      <c r="E140" s="271"/>
      <c r="F140" s="271"/>
      <c r="G140" s="271"/>
      <c r="H140" s="272"/>
      <c r="I140" s="273"/>
      <c r="J140" s="273"/>
      <c r="K140" s="273"/>
      <c r="L140" s="273"/>
      <c r="M140" s="274"/>
      <c r="N140" s="272"/>
      <c r="O140" s="273"/>
      <c r="P140" s="273"/>
      <c r="Q140" s="273"/>
      <c r="R140" s="273"/>
      <c r="S140" s="274"/>
    </row>
    <row r="141" spans="1:29" s="258" customFormat="1" x14ac:dyDescent="0.15">
      <c r="A141" s="275" t="s">
        <v>182</v>
      </c>
      <c r="B141" s="283"/>
      <c r="C141" s="271"/>
      <c r="D141" s="271"/>
      <c r="E141" s="271"/>
      <c r="F141" s="271"/>
      <c r="G141" s="271"/>
      <c r="H141" s="272"/>
      <c r="I141" s="273"/>
      <c r="J141" s="273"/>
      <c r="K141" s="273"/>
      <c r="L141" s="273"/>
      <c r="M141" s="274"/>
      <c r="N141" s="272"/>
      <c r="O141" s="273"/>
      <c r="P141" s="273"/>
      <c r="Q141" s="273"/>
      <c r="R141" s="273"/>
      <c r="S141" s="274"/>
    </row>
    <row r="142" spans="1:29" s="258" customFormat="1" x14ac:dyDescent="0.15">
      <c r="A142" s="275" t="s">
        <v>166</v>
      </c>
      <c r="B142" s="343">
        <f t="shared" ref="B142:S142" si="100">IFERROR(NOPAT/Sales,"")</f>
        <v>-0.19612496796033349</v>
      </c>
      <c r="C142" s="271">
        <f t="shared" si="100"/>
        <v>-0.19612496796033338</v>
      </c>
      <c r="D142" s="271">
        <f t="shared" si="100"/>
        <v>-0.19612496796033352</v>
      </c>
      <c r="E142" s="271">
        <f t="shared" si="100"/>
        <v>-0.19612496796033338</v>
      </c>
      <c r="F142" s="271">
        <f t="shared" si="100"/>
        <v>-0.19612496796033344</v>
      </c>
      <c r="G142" s="271">
        <f t="shared" si="100"/>
        <v>-0.19612496796033344</v>
      </c>
      <c r="H142" s="272">
        <f t="shared" si="100"/>
        <v>-0.19612496796033349</v>
      </c>
      <c r="I142" s="273">
        <f t="shared" si="100"/>
        <v>-0.19612496796033338</v>
      </c>
      <c r="J142" s="273">
        <f t="shared" si="100"/>
        <v>-0.19612496796033352</v>
      </c>
      <c r="K142" s="273">
        <f t="shared" si="100"/>
        <v>-0.19612496796033338</v>
      </c>
      <c r="L142" s="273">
        <f t="shared" si="100"/>
        <v>-0.19612496796033344</v>
      </c>
      <c r="M142" s="274">
        <f t="shared" si="100"/>
        <v>-0.19612496796033344</v>
      </c>
      <c r="N142" s="272" t="str">
        <f t="shared" si="100"/>
        <v/>
      </c>
      <c r="O142" s="273">
        <f t="shared" si="100"/>
        <v>-0.19612496796033338</v>
      </c>
      <c r="P142" s="273">
        <f t="shared" si="100"/>
        <v>-0.19612496796033352</v>
      </c>
      <c r="Q142" s="273">
        <f t="shared" si="100"/>
        <v>-0.19612496796033338</v>
      </c>
      <c r="R142" s="273">
        <f t="shared" si="100"/>
        <v>-0.19612496796033344</v>
      </c>
      <c r="S142" s="274">
        <f t="shared" si="100"/>
        <v>-0.19612496796033344</v>
      </c>
    </row>
    <row r="143" spans="1:29" s="258" customFormat="1" x14ac:dyDescent="0.15">
      <c r="A143" s="275" t="s">
        <v>167</v>
      </c>
      <c r="B143" s="343">
        <f t="shared" ref="B143:S143" si="101">IFERROR(OperatingCapital/Sales,"")</f>
        <v>0.56421391043952307</v>
      </c>
      <c r="C143" s="271">
        <f t="shared" si="101"/>
        <v>0.56421391043952318</v>
      </c>
      <c r="D143" s="271">
        <f t="shared" si="101"/>
        <v>0.56421391043952307</v>
      </c>
      <c r="E143" s="271">
        <f t="shared" si="101"/>
        <v>0.56421391043952307</v>
      </c>
      <c r="F143" s="271">
        <f t="shared" si="101"/>
        <v>0.56421391043952307</v>
      </c>
      <c r="G143" s="271">
        <f t="shared" si="101"/>
        <v>0.56421391043952318</v>
      </c>
      <c r="H143" s="272">
        <f t="shared" si="101"/>
        <v>0.56421391043952307</v>
      </c>
      <c r="I143" s="273">
        <f t="shared" si="101"/>
        <v>0.56421391043952318</v>
      </c>
      <c r="J143" s="273">
        <f t="shared" si="101"/>
        <v>0.56421391043952307</v>
      </c>
      <c r="K143" s="273">
        <f t="shared" si="101"/>
        <v>0.56421391043952307</v>
      </c>
      <c r="L143" s="273">
        <f t="shared" si="101"/>
        <v>0.56421391043952307</v>
      </c>
      <c r="M143" s="274">
        <f t="shared" si="101"/>
        <v>0.56421391043952318</v>
      </c>
      <c r="N143" s="272">
        <f t="shared" si="101"/>
        <v>0.56421391043952307</v>
      </c>
      <c r="O143" s="273">
        <f t="shared" si="101"/>
        <v>0.56421391043952318</v>
      </c>
      <c r="P143" s="273">
        <f t="shared" si="101"/>
        <v>0.56421391043952307</v>
      </c>
      <c r="Q143" s="273">
        <f t="shared" si="101"/>
        <v>0.56421391043952307</v>
      </c>
      <c r="R143" s="273">
        <f t="shared" si="101"/>
        <v>0.56421391043952307</v>
      </c>
      <c r="S143" s="274">
        <f t="shared" si="101"/>
        <v>0.56421391043952318</v>
      </c>
    </row>
    <row r="144" spans="1:29" s="258" customFormat="1" x14ac:dyDescent="0.15">
      <c r="A144" s="275" t="s">
        <v>168</v>
      </c>
      <c r="B144" s="343">
        <f t="shared" ref="B144:S144" si="102">SalesGrowthRate</f>
        <v>-8.4900000000000003E-2</v>
      </c>
      <c r="C144" s="271">
        <f t="shared" si="102"/>
        <v>-8.4900000000000003E-2</v>
      </c>
      <c r="D144" s="271">
        <f t="shared" si="102"/>
        <v>-8.4900000000000003E-2</v>
      </c>
      <c r="E144" s="271">
        <f t="shared" si="102"/>
        <v>-8.4900000000000003E-2</v>
      </c>
      <c r="F144" s="271">
        <f t="shared" si="102"/>
        <v>-8.4900000000000003E-2</v>
      </c>
      <c r="G144" s="271">
        <f t="shared" si="102"/>
        <v>-8.4900000000000003E-2</v>
      </c>
      <c r="H144" s="272">
        <f t="shared" si="102"/>
        <v>0</v>
      </c>
      <c r="I144" s="273">
        <f t="shared" si="102"/>
        <v>-8.4900000000000003E-2</v>
      </c>
      <c r="J144" s="273">
        <f t="shared" si="102"/>
        <v>-8.4900000000000003E-2</v>
      </c>
      <c r="K144" s="273">
        <f t="shared" si="102"/>
        <v>-8.4900000000000003E-2</v>
      </c>
      <c r="L144" s="273">
        <f t="shared" si="102"/>
        <v>-8.4900000000000003E-2</v>
      </c>
      <c r="M144" s="274">
        <f t="shared" si="102"/>
        <v>-8.4900000000000003E-2</v>
      </c>
      <c r="N144" s="272">
        <f t="shared" si="102"/>
        <v>0</v>
      </c>
      <c r="O144" s="273">
        <f t="shared" si="102"/>
        <v>-8.4900000000000003E-2</v>
      </c>
      <c r="P144" s="273">
        <f t="shared" si="102"/>
        <v>-8.4900000000000003E-2</v>
      </c>
      <c r="Q144" s="273">
        <f t="shared" si="102"/>
        <v>-8.4900000000000003E-2</v>
      </c>
      <c r="R144" s="273">
        <f t="shared" si="102"/>
        <v>-8.4900000000000003E-2</v>
      </c>
      <c r="S144" s="274">
        <f t="shared" si="102"/>
        <v>-8.4900000000000003E-2</v>
      </c>
    </row>
    <row r="145" spans="1:25" s="258" customFormat="1" x14ac:dyDescent="0.15">
      <c r="A145" s="275" t="s">
        <v>169</v>
      </c>
      <c r="B145" s="344">
        <f t="shared" ref="B145:S145" si="103">IFERROR(A/B,"")</f>
        <v>-0.34760746647942797</v>
      </c>
      <c r="C145" s="345">
        <f t="shared" si="103"/>
        <v>-0.3476074664794277</v>
      </c>
      <c r="D145" s="345">
        <f t="shared" si="103"/>
        <v>-0.34760746647942803</v>
      </c>
      <c r="E145" s="345">
        <f t="shared" si="103"/>
        <v>-0.34760746647942775</v>
      </c>
      <c r="F145" s="345">
        <f t="shared" si="103"/>
        <v>-0.34760746647942786</v>
      </c>
      <c r="G145" s="345">
        <f t="shared" si="103"/>
        <v>-0.34760746647942781</v>
      </c>
      <c r="H145" s="346">
        <f t="shared" si="103"/>
        <v>-0.34760746647942797</v>
      </c>
      <c r="I145" s="347">
        <f t="shared" si="103"/>
        <v>-0.3476074664794277</v>
      </c>
      <c r="J145" s="347">
        <f t="shared" si="103"/>
        <v>-0.34760746647942803</v>
      </c>
      <c r="K145" s="347">
        <f t="shared" si="103"/>
        <v>-0.34760746647942775</v>
      </c>
      <c r="L145" s="347">
        <f t="shared" si="103"/>
        <v>-0.34760746647942786</v>
      </c>
      <c r="M145" s="348">
        <f t="shared" si="103"/>
        <v>-0.34760746647942781</v>
      </c>
      <c r="N145" s="346" t="str">
        <f t="shared" si="103"/>
        <v/>
      </c>
      <c r="O145" s="347">
        <f t="shared" si="103"/>
        <v>-0.3476074664794277</v>
      </c>
      <c r="P145" s="347">
        <f t="shared" si="103"/>
        <v>-0.34760746647942803</v>
      </c>
      <c r="Q145" s="347">
        <f t="shared" si="103"/>
        <v>-0.34760746647942775</v>
      </c>
      <c r="R145" s="347">
        <f t="shared" si="103"/>
        <v>-0.34760746647942786</v>
      </c>
      <c r="S145" s="348">
        <f t="shared" si="103"/>
        <v>-0.34760746647942781</v>
      </c>
    </row>
    <row r="146" spans="1:25" s="258" customFormat="1" x14ac:dyDescent="0.15">
      <c r="A146" s="275" t="s">
        <v>170</v>
      </c>
      <c r="B146" s="344">
        <f t="shared" ref="B146:S146" si="104">IFERROR(g/(1+g),"")</f>
        <v>-9.2776745710851274E-2</v>
      </c>
      <c r="C146" s="345">
        <f t="shared" si="104"/>
        <v>-9.2776745710851274E-2</v>
      </c>
      <c r="D146" s="345">
        <f t="shared" si="104"/>
        <v>-9.2776745710851274E-2</v>
      </c>
      <c r="E146" s="345">
        <f t="shared" si="104"/>
        <v>-9.2776745710851274E-2</v>
      </c>
      <c r="F146" s="345">
        <f t="shared" si="104"/>
        <v>-9.2776745710851274E-2</v>
      </c>
      <c r="G146" s="345">
        <f t="shared" si="104"/>
        <v>-9.2776745710851274E-2</v>
      </c>
      <c r="H146" s="346">
        <f t="shared" si="104"/>
        <v>0</v>
      </c>
      <c r="I146" s="347">
        <f t="shared" si="104"/>
        <v>-9.2776745710851274E-2</v>
      </c>
      <c r="J146" s="347">
        <f t="shared" si="104"/>
        <v>-9.2776745710851274E-2</v>
      </c>
      <c r="K146" s="347">
        <f t="shared" si="104"/>
        <v>-9.2776745710851274E-2</v>
      </c>
      <c r="L146" s="347">
        <f t="shared" si="104"/>
        <v>-9.2776745710851274E-2</v>
      </c>
      <c r="M146" s="348">
        <f t="shared" si="104"/>
        <v>-9.2776745710851274E-2</v>
      </c>
      <c r="N146" s="346">
        <f t="shared" si="104"/>
        <v>0</v>
      </c>
      <c r="O146" s="347">
        <f t="shared" si="104"/>
        <v>-9.2776745710851274E-2</v>
      </c>
      <c r="P146" s="347">
        <f t="shared" si="104"/>
        <v>-9.2776745710851274E-2</v>
      </c>
      <c r="Q146" s="347">
        <f t="shared" si="104"/>
        <v>-9.2776745710851274E-2</v>
      </c>
      <c r="R146" s="347">
        <f t="shared" si="104"/>
        <v>-9.2776745710851274E-2</v>
      </c>
      <c r="S146" s="348">
        <f t="shared" si="104"/>
        <v>-9.2776745710851274E-2</v>
      </c>
    </row>
    <row r="147" spans="1:25" s="258" customFormat="1" x14ac:dyDescent="0.15">
      <c r="A147" s="275"/>
      <c r="B147" s="268"/>
      <c r="C147" s="265"/>
      <c r="D147" s="265"/>
      <c r="E147" s="265"/>
      <c r="F147" s="265"/>
      <c r="G147" s="265"/>
      <c r="H147" s="266"/>
      <c r="I147" s="276"/>
      <c r="J147" s="276"/>
      <c r="K147" s="276"/>
      <c r="L147" s="276"/>
      <c r="M147" s="267"/>
      <c r="N147" s="266"/>
      <c r="O147" s="276"/>
      <c r="P147" s="276"/>
      <c r="Q147" s="276"/>
      <c r="R147" s="276"/>
      <c r="S147" s="267"/>
    </row>
    <row r="148" spans="1:25" s="258" customFormat="1" x14ac:dyDescent="0.15">
      <c r="A148" s="275"/>
      <c r="B148" s="268"/>
      <c r="C148" s="265"/>
      <c r="D148" s="265"/>
      <c r="E148" s="265"/>
      <c r="F148" s="265"/>
      <c r="G148" s="265"/>
      <c r="H148" s="266"/>
      <c r="I148" s="276"/>
      <c r="J148" s="276"/>
      <c r="K148" s="276"/>
      <c r="L148" s="276"/>
      <c r="M148" s="267"/>
      <c r="N148" s="266"/>
      <c r="O148" s="276"/>
      <c r="P148" s="276"/>
      <c r="Q148" s="276"/>
      <c r="R148" s="276"/>
      <c r="S148" s="267"/>
    </row>
    <row r="149" spans="1:25" s="255" customFormat="1" hidden="1" x14ac:dyDescent="0.15">
      <c r="A149" s="349" t="s">
        <v>86</v>
      </c>
      <c r="B149" s="350"/>
      <c r="C149" s="351"/>
      <c r="D149" s="351"/>
      <c r="E149" s="352"/>
      <c r="F149" s="352"/>
      <c r="G149" s="352"/>
      <c r="H149" s="353"/>
      <c r="I149" s="351"/>
      <c r="J149" s="352"/>
      <c r="K149" s="352"/>
      <c r="L149" s="352"/>
      <c r="M149" s="354"/>
      <c r="N149" s="353"/>
      <c r="O149" s="351"/>
      <c r="P149" s="352"/>
      <c r="Q149" s="352"/>
      <c r="R149" s="352"/>
      <c r="S149" s="354"/>
      <c r="Y149" s="355"/>
    </row>
    <row r="150" spans="1:25" s="255" customFormat="1" ht="17" hidden="1" thickBot="1" x14ac:dyDescent="0.25">
      <c r="A150" s="356" t="s">
        <v>87</v>
      </c>
      <c r="B150" s="357">
        <f>CurrentYear</f>
        <v>2015</v>
      </c>
      <c r="C150" s="357">
        <f>PreviousYearFigure+1</f>
        <v>2016</v>
      </c>
      <c r="D150" s="357">
        <f>PreviousYearFigure+1</f>
        <v>2017</v>
      </c>
      <c r="E150" s="357">
        <f>PreviousYearFigure+1</f>
        <v>2018</v>
      </c>
      <c r="F150" s="357">
        <f>PreviousYearFigure+1</f>
        <v>2019</v>
      </c>
      <c r="G150" s="357">
        <f>PreviousYearFigure+1</f>
        <v>2020</v>
      </c>
      <c r="H150" s="358">
        <f>CurrentYear</f>
        <v>2015</v>
      </c>
      <c r="I150" s="359">
        <f>PreviousYearFigure+1</f>
        <v>2016</v>
      </c>
      <c r="J150" s="359">
        <f>PreviousYearFigure+1</f>
        <v>2017</v>
      </c>
      <c r="K150" s="359">
        <f>PreviousYearFigure+1</f>
        <v>2018</v>
      </c>
      <c r="L150" s="359">
        <f>PreviousYearFigure+1</f>
        <v>2019</v>
      </c>
      <c r="M150" s="360">
        <f>PreviousYearFigure+1</f>
        <v>2020</v>
      </c>
      <c r="N150" s="361">
        <f>CurrentYear</f>
        <v>2015</v>
      </c>
      <c r="O150" s="362">
        <f>PreviousYearFigure+1</f>
        <v>2016</v>
      </c>
      <c r="P150" s="362">
        <f>PreviousYearFigure+1</f>
        <v>2017</v>
      </c>
      <c r="Q150" s="362">
        <f>PreviousYearFigure+1</f>
        <v>2018</v>
      </c>
      <c r="R150" s="362">
        <f>PreviousYearFigure+1</f>
        <v>2019</v>
      </c>
      <c r="S150" s="363">
        <f>PreviousYearFigure+1</f>
        <v>2020</v>
      </c>
      <c r="Y150" s="355"/>
    </row>
    <row r="151" spans="1:25" s="255" customFormat="1" ht="14" hidden="1" thickTop="1" x14ac:dyDescent="0.15">
      <c r="A151" s="364" t="s">
        <v>88</v>
      </c>
      <c r="B151" s="365"/>
      <c r="C151" s="366"/>
      <c r="D151" s="366"/>
      <c r="E151" s="366"/>
      <c r="F151" s="366"/>
      <c r="G151" s="366"/>
      <c r="H151" s="259"/>
      <c r="I151" s="367"/>
      <c r="J151" s="367"/>
      <c r="K151" s="367"/>
      <c r="L151" s="367"/>
      <c r="M151" s="368"/>
      <c r="N151" s="259"/>
      <c r="O151" s="367"/>
      <c r="P151" s="367"/>
      <c r="Q151" s="367"/>
      <c r="R151" s="367"/>
      <c r="S151" s="368"/>
      <c r="Y151" s="355"/>
    </row>
    <row r="152" spans="1:25" s="255" customFormat="1" hidden="1" x14ac:dyDescent="0.15">
      <c r="A152" s="369" t="s">
        <v>89</v>
      </c>
      <c r="B152" s="370">
        <f t="shared" ref="B152:S152" si="105">CurrentAssets/CurrentLiabilities</f>
        <v>1.9627089921612024</v>
      </c>
      <c r="C152" s="371">
        <f t="shared" si="105"/>
        <v>1.7312774403143267</v>
      </c>
      <c r="D152" s="371">
        <f t="shared" si="105"/>
        <v>1.2581732934917409</v>
      </c>
      <c r="E152" s="371">
        <f t="shared" si="105"/>
        <v>0.67342013238449849</v>
      </c>
      <c r="F152" s="371">
        <f t="shared" si="105"/>
        <v>0.27211140856979998</v>
      </c>
      <c r="G152" s="371">
        <f t="shared" si="105"/>
        <v>9.4156124660545362E-2</v>
      </c>
      <c r="H152" s="372">
        <f t="shared" si="105"/>
        <v>1.9627089921612024</v>
      </c>
      <c r="I152" s="373">
        <f t="shared" si="105"/>
        <v>1.9557359875852456</v>
      </c>
      <c r="J152" s="373">
        <f t="shared" si="105"/>
        <v>1.9481724862442855</v>
      </c>
      <c r="K152" s="373">
        <f t="shared" si="105"/>
        <v>1.9399738807674538</v>
      </c>
      <c r="L152" s="373">
        <f t="shared" si="105"/>
        <v>1.9310931795810229</v>
      </c>
      <c r="M152" s="374">
        <f t="shared" si="105"/>
        <v>1.9214810652373011</v>
      </c>
      <c r="N152" s="372">
        <f t="shared" si="105"/>
        <v>1.9627089921612024</v>
      </c>
      <c r="O152" s="373">
        <f t="shared" si="105"/>
        <v>1.9557359875852456</v>
      </c>
      <c r="P152" s="373">
        <f t="shared" si="105"/>
        <v>1.9481724862442855</v>
      </c>
      <c r="Q152" s="373">
        <f t="shared" si="105"/>
        <v>1.9399738807674538</v>
      </c>
      <c r="R152" s="373">
        <f t="shared" si="105"/>
        <v>1.9310931795810229</v>
      </c>
      <c r="S152" s="374">
        <f t="shared" si="105"/>
        <v>1.9214810652373011</v>
      </c>
      <c r="Y152" s="355"/>
    </row>
    <row r="153" spans="1:25" s="255" customFormat="1" hidden="1" x14ac:dyDescent="0.15">
      <c r="A153" s="369" t="s">
        <v>90</v>
      </c>
      <c r="B153" s="370">
        <f t="shared" ref="B153:S153" si="106">(CurrentAssets-Inventories)/CurrentLiabilities</f>
        <v>0.84805326493098798</v>
      </c>
      <c r="C153" s="371">
        <f t="shared" si="106"/>
        <v>0.74805561681522081</v>
      </c>
      <c r="D153" s="371">
        <f t="shared" si="106"/>
        <v>0.54363533955165655</v>
      </c>
      <c r="E153" s="371">
        <f t="shared" si="106"/>
        <v>0.29097341695575546</v>
      </c>
      <c r="F153" s="371">
        <f t="shared" si="106"/>
        <v>0.11757472421241935</v>
      </c>
      <c r="G153" s="371">
        <f t="shared" si="106"/>
        <v>4.0683264432237534E-2</v>
      </c>
      <c r="H153" s="372">
        <f t="shared" si="106"/>
        <v>0.84805326493098798</v>
      </c>
      <c r="I153" s="373">
        <f t="shared" si="106"/>
        <v>0.84504034792666571</v>
      </c>
      <c r="J153" s="373">
        <f t="shared" si="106"/>
        <v>0.84177228728592424</v>
      </c>
      <c r="K153" s="373">
        <f t="shared" si="106"/>
        <v>0.83822980892042187</v>
      </c>
      <c r="L153" s="373">
        <f t="shared" si="106"/>
        <v>0.83439260856820041</v>
      </c>
      <c r="M153" s="374">
        <f t="shared" si="106"/>
        <v>0.83023937699661265</v>
      </c>
      <c r="N153" s="372">
        <f t="shared" si="106"/>
        <v>0.84805326493098798</v>
      </c>
      <c r="O153" s="373">
        <f t="shared" si="106"/>
        <v>0.84504034792666571</v>
      </c>
      <c r="P153" s="373">
        <f t="shared" si="106"/>
        <v>0.84177228728592424</v>
      </c>
      <c r="Q153" s="373">
        <f t="shared" si="106"/>
        <v>0.83822980892042187</v>
      </c>
      <c r="R153" s="373">
        <f t="shared" si="106"/>
        <v>0.83439260856820041</v>
      </c>
      <c r="S153" s="374">
        <f t="shared" si="106"/>
        <v>0.83023937699661265</v>
      </c>
      <c r="Y153" s="355"/>
    </row>
    <row r="154" spans="1:25" s="255" customFormat="1" hidden="1" x14ac:dyDescent="0.15">
      <c r="A154" s="369"/>
      <c r="B154" s="375"/>
      <c r="C154" s="376"/>
      <c r="D154" s="376"/>
      <c r="E154" s="376"/>
      <c r="F154" s="376"/>
      <c r="G154" s="376"/>
      <c r="H154" s="377"/>
      <c r="I154" s="378"/>
      <c r="J154" s="378"/>
      <c r="K154" s="378"/>
      <c r="L154" s="378"/>
      <c r="M154" s="379"/>
      <c r="N154" s="377"/>
      <c r="O154" s="378"/>
      <c r="P154" s="378"/>
      <c r="Q154" s="378"/>
      <c r="R154" s="378"/>
      <c r="S154" s="379"/>
      <c r="Y154" s="355"/>
    </row>
    <row r="155" spans="1:25" s="255" customFormat="1" hidden="1" x14ac:dyDescent="0.15">
      <c r="A155" s="364" t="s">
        <v>91</v>
      </c>
      <c r="B155" s="375"/>
      <c r="C155" s="376"/>
      <c r="D155" s="376"/>
      <c r="E155" s="376"/>
      <c r="F155" s="376"/>
      <c r="G155" s="376"/>
      <c r="H155" s="377"/>
      <c r="I155" s="378"/>
      <c r="J155" s="378"/>
      <c r="K155" s="378"/>
      <c r="L155" s="378"/>
      <c r="M155" s="379"/>
      <c r="N155" s="377"/>
      <c r="O155" s="378"/>
      <c r="P155" s="378"/>
      <c r="Q155" s="378"/>
      <c r="R155" s="378"/>
      <c r="S155" s="379"/>
      <c r="Y155" s="355"/>
    </row>
    <row r="156" spans="1:25" s="255" customFormat="1" hidden="1" x14ac:dyDescent="0.15">
      <c r="A156" s="369" t="s">
        <v>92</v>
      </c>
      <c r="B156" s="370">
        <f t="shared" ref="B156:S156" si="107">COGS/Inventories</f>
        <v>2.5855528786242421</v>
      </c>
      <c r="C156" s="371">
        <f t="shared" si="107"/>
        <v>2.5855528786242417</v>
      </c>
      <c r="D156" s="371">
        <f t="shared" si="107"/>
        <v>2.5855528786242421</v>
      </c>
      <c r="E156" s="371">
        <f t="shared" si="107"/>
        <v>2.5855528786242417</v>
      </c>
      <c r="F156" s="371">
        <f t="shared" si="107"/>
        <v>2.5855528786242417</v>
      </c>
      <c r="G156" s="371">
        <f t="shared" si="107"/>
        <v>2.5855528786242417</v>
      </c>
      <c r="H156" s="372">
        <f t="shared" si="107"/>
        <v>2.5855528786242421</v>
      </c>
      <c r="I156" s="373">
        <f t="shared" si="107"/>
        <v>2.5855528786242417</v>
      </c>
      <c r="J156" s="373">
        <f t="shared" si="107"/>
        <v>2.5855528786242421</v>
      </c>
      <c r="K156" s="373">
        <f t="shared" si="107"/>
        <v>2.5855528786242417</v>
      </c>
      <c r="L156" s="373">
        <f t="shared" si="107"/>
        <v>2.5855528786242417</v>
      </c>
      <c r="M156" s="374">
        <f t="shared" si="107"/>
        <v>2.5855528786242417</v>
      </c>
      <c r="N156" s="372">
        <f t="shared" si="107"/>
        <v>2.5855528786242421</v>
      </c>
      <c r="O156" s="373">
        <f t="shared" si="107"/>
        <v>2.5855528786242417</v>
      </c>
      <c r="P156" s="373">
        <f t="shared" si="107"/>
        <v>2.5855528786242421</v>
      </c>
      <c r="Q156" s="373">
        <f t="shared" si="107"/>
        <v>2.5855528786242417</v>
      </c>
      <c r="R156" s="373">
        <f t="shared" si="107"/>
        <v>2.5855528786242417</v>
      </c>
      <c r="S156" s="374">
        <f t="shared" si="107"/>
        <v>2.5855528786242417</v>
      </c>
      <c r="Y156" s="355"/>
    </row>
    <row r="157" spans="1:25" s="255" customFormat="1" hidden="1" x14ac:dyDescent="0.15">
      <c r="A157" s="369" t="s">
        <v>93</v>
      </c>
      <c r="B157" s="380">
        <f t="shared" ref="B157:S157" si="108">Inventories/(COGS/365)</f>
        <v>141.1690331370111</v>
      </c>
      <c r="C157" s="381">
        <f t="shared" si="108"/>
        <v>141.1690331370111</v>
      </c>
      <c r="D157" s="381">
        <f t="shared" si="108"/>
        <v>141.16903313701107</v>
      </c>
      <c r="E157" s="381">
        <f t="shared" si="108"/>
        <v>141.1690331370111</v>
      </c>
      <c r="F157" s="381">
        <f t="shared" si="108"/>
        <v>141.1690331370111</v>
      </c>
      <c r="G157" s="381">
        <f t="shared" si="108"/>
        <v>141.1690331370111</v>
      </c>
      <c r="H157" s="382">
        <f t="shared" si="108"/>
        <v>141.1690331370111</v>
      </c>
      <c r="I157" s="383">
        <f t="shared" si="108"/>
        <v>141.1690331370111</v>
      </c>
      <c r="J157" s="383">
        <f t="shared" si="108"/>
        <v>141.16903313701107</v>
      </c>
      <c r="K157" s="383">
        <f t="shared" si="108"/>
        <v>141.1690331370111</v>
      </c>
      <c r="L157" s="383">
        <f t="shared" si="108"/>
        <v>141.1690331370111</v>
      </c>
      <c r="M157" s="384">
        <f t="shared" si="108"/>
        <v>141.1690331370111</v>
      </c>
      <c r="N157" s="382">
        <f t="shared" si="108"/>
        <v>141.1690331370111</v>
      </c>
      <c r="O157" s="383">
        <f t="shared" si="108"/>
        <v>141.1690331370111</v>
      </c>
      <c r="P157" s="383">
        <f t="shared" si="108"/>
        <v>141.16903313701107</v>
      </c>
      <c r="Q157" s="383">
        <f t="shared" si="108"/>
        <v>141.1690331370111</v>
      </c>
      <c r="R157" s="383">
        <f t="shared" si="108"/>
        <v>141.1690331370111</v>
      </c>
      <c r="S157" s="384">
        <f t="shared" si="108"/>
        <v>141.1690331370111</v>
      </c>
      <c r="Y157" s="355"/>
    </row>
    <row r="158" spans="1:25" s="385" customFormat="1" hidden="1" x14ac:dyDescent="0.15">
      <c r="A158" s="369" t="s">
        <v>94</v>
      </c>
      <c r="B158" s="370">
        <f t="shared" ref="B158:S158" si="109">Sales/AccountsReceivable</f>
        <v>9.2122298745897133</v>
      </c>
      <c r="C158" s="371">
        <f t="shared" si="109"/>
        <v>9.2122298745897115</v>
      </c>
      <c r="D158" s="371">
        <f t="shared" si="109"/>
        <v>9.2122298745897115</v>
      </c>
      <c r="E158" s="371">
        <f t="shared" si="109"/>
        <v>9.2122298745897133</v>
      </c>
      <c r="F158" s="371">
        <f t="shared" si="109"/>
        <v>9.2122298745897133</v>
      </c>
      <c r="G158" s="371">
        <f t="shared" si="109"/>
        <v>9.2122298745897133</v>
      </c>
      <c r="H158" s="372">
        <f t="shared" si="109"/>
        <v>9.2122298745897133</v>
      </c>
      <c r="I158" s="373">
        <f t="shared" si="109"/>
        <v>9.2122298745897115</v>
      </c>
      <c r="J158" s="373">
        <f t="shared" si="109"/>
        <v>9.2122298745897115</v>
      </c>
      <c r="K158" s="373">
        <f t="shared" si="109"/>
        <v>9.2122298745897133</v>
      </c>
      <c r="L158" s="373">
        <f t="shared" si="109"/>
        <v>9.2122298745897133</v>
      </c>
      <c r="M158" s="374">
        <f t="shared" si="109"/>
        <v>9.2122298745897133</v>
      </c>
      <c r="N158" s="372">
        <f t="shared" si="109"/>
        <v>9.2122298745897133</v>
      </c>
      <c r="O158" s="373">
        <f t="shared" si="109"/>
        <v>9.2122298745897115</v>
      </c>
      <c r="P158" s="373">
        <f t="shared" si="109"/>
        <v>9.2122298745897115</v>
      </c>
      <c r="Q158" s="373">
        <f t="shared" si="109"/>
        <v>9.2122298745897133</v>
      </c>
      <c r="R158" s="373">
        <f t="shared" si="109"/>
        <v>9.2122298745897133</v>
      </c>
      <c r="S158" s="374">
        <f t="shared" si="109"/>
        <v>9.2122298745897133</v>
      </c>
      <c r="Y158" s="386"/>
    </row>
    <row r="159" spans="1:25" s="255" customFormat="1" hidden="1" x14ac:dyDescent="0.15">
      <c r="A159" s="369" t="s">
        <v>95</v>
      </c>
      <c r="B159" s="380">
        <f t="shared" ref="B159:S159" si="110">AccountsReceivable/(Sales/365)</f>
        <v>39.621243170102296</v>
      </c>
      <c r="C159" s="381">
        <f t="shared" si="110"/>
        <v>39.621243170102304</v>
      </c>
      <c r="D159" s="381">
        <f t="shared" si="110"/>
        <v>39.621243170102304</v>
      </c>
      <c r="E159" s="381">
        <f t="shared" si="110"/>
        <v>39.621243170102296</v>
      </c>
      <c r="F159" s="381">
        <f t="shared" si="110"/>
        <v>39.621243170102296</v>
      </c>
      <c r="G159" s="381">
        <f t="shared" si="110"/>
        <v>39.621243170102296</v>
      </c>
      <c r="H159" s="382">
        <f t="shared" si="110"/>
        <v>39.621243170102296</v>
      </c>
      <c r="I159" s="383">
        <f t="shared" si="110"/>
        <v>39.621243170102304</v>
      </c>
      <c r="J159" s="383">
        <f t="shared" si="110"/>
        <v>39.621243170102304</v>
      </c>
      <c r="K159" s="383">
        <f t="shared" si="110"/>
        <v>39.621243170102296</v>
      </c>
      <c r="L159" s="383">
        <f t="shared" si="110"/>
        <v>39.621243170102296</v>
      </c>
      <c r="M159" s="384">
        <f t="shared" si="110"/>
        <v>39.621243170102296</v>
      </c>
      <c r="N159" s="382">
        <f t="shared" si="110"/>
        <v>39.621243170102296</v>
      </c>
      <c r="O159" s="383">
        <f t="shared" si="110"/>
        <v>39.621243170102304</v>
      </c>
      <c r="P159" s="383">
        <f t="shared" si="110"/>
        <v>39.621243170102304</v>
      </c>
      <c r="Q159" s="383">
        <f t="shared" si="110"/>
        <v>39.621243170102296</v>
      </c>
      <c r="R159" s="383">
        <f t="shared" si="110"/>
        <v>39.621243170102296</v>
      </c>
      <c r="S159" s="384">
        <f t="shared" si="110"/>
        <v>39.621243170102296</v>
      </c>
      <c r="Y159" s="355"/>
    </row>
    <row r="160" spans="1:25" s="255" customFormat="1" hidden="1" x14ac:dyDescent="0.15">
      <c r="A160" s="369" t="s">
        <v>96</v>
      </c>
      <c r="B160" s="370">
        <f t="shared" ref="B160:S160" si="111">Sales/(TotalAssets-CurrentAssets)</f>
        <v>2.4943183569469132</v>
      </c>
      <c r="C160" s="371">
        <f t="shared" si="111"/>
        <v>2.4926913534078952</v>
      </c>
      <c r="D160" s="371">
        <f t="shared" si="111"/>
        <v>2.4909158271005993</v>
      </c>
      <c r="E160" s="371">
        <f t="shared" si="111"/>
        <v>2.4889784632692367</v>
      </c>
      <c r="F160" s="371">
        <f t="shared" si="111"/>
        <v>2.4868648002189597</v>
      </c>
      <c r="G160" s="371">
        <f t="shared" si="111"/>
        <v>2.4845591395037205</v>
      </c>
      <c r="H160" s="372">
        <f t="shared" si="111"/>
        <v>2.4943183569469132</v>
      </c>
      <c r="I160" s="373">
        <f t="shared" si="111"/>
        <v>2.4926913534078952</v>
      </c>
      <c r="J160" s="373">
        <f t="shared" si="111"/>
        <v>2.4909158271005993</v>
      </c>
      <c r="K160" s="373">
        <f t="shared" si="111"/>
        <v>2.4889784632692367</v>
      </c>
      <c r="L160" s="373">
        <f t="shared" si="111"/>
        <v>2.4868648002189597</v>
      </c>
      <c r="M160" s="374">
        <f t="shared" si="111"/>
        <v>2.4845591395037205</v>
      </c>
      <c r="N160" s="372">
        <f t="shared" si="111"/>
        <v>2.4943183569469132</v>
      </c>
      <c r="O160" s="373">
        <f t="shared" si="111"/>
        <v>2.4926913534078952</v>
      </c>
      <c r="P160" s="373">
        <f t="shared" si="111"/>
        <v>2.4909158271005993</v>
      </c>
      <c r="Q160" s="373">
        <f t="shared" si="111"/>
        <v>2.4889784632692367</v>
      </c>
      <c r="R160" s="373">
        <f t="shared" si="111"/>
        <v>2.4868648002189597</v>
      </c>
      <c r="S160" s="374">
        <f t="shared" si="111"/>
        <v>2.4845591395037205</v>
      </c>
      <c r="Y160" s="355"/>
    </row>
    <row r="161" spans="1:25" s="255" customFormat="1" hidden="1" x14ac:dyDescent="0.15">
      <c r="A161" s="369" t="s">
        <v>97</v>
      </c>
      <c r="B161" s="370">
        <f t="shared" ref="B161:S161" si="112">Sales/TotalAssets</f>
        <v>1.1941334736800684</v>
      </c>
      <c r="C161" s="371">
        <f t="shared" si="112"/>
        <v>1.1937604484852771</v>
      </c>
      <c r="D161" s="371">
        <f t="shared" si="112"/>
        <v>1.1933530816239972</v>
      </c>
      <c r="E161" s="371">
        <f t="shared" si="112"/>
        <v>1.1929082383857044</v>
      </c>
      <c r="F161" s="371">
        <f t="shared" si="112"/>
        <v>1.192422503112103</v>
      </c>
      <c r="G161" s="371">
        <f t="shared" si="112"/>
        <v>1.1918921550201986</v>
      </c>
      <c r="H161" s="372">
        <f t="shared" si="112"/>
        <v>1.1941334736800684</v>
      </c>
      <c r="I161" s="373">
        <f t="shared" si="112"/>
        <v>1.1937604484852771</v>
      </c>
      <c r="J161" s="373">
        <f t="shared" si="112"/>
        <v>1.1933530816239972</v>
      </c>
      <c r="K161" s="373">
        <f t="shared" si="112"/>
        <v>1.1929082383857044</v>
      </c>
      <c r="L161" s="373">
        <f t="shared" si="112"/>
        <v>1.192422503112103</v>
      </c>
      <c r="M161" s="374">
        <f t="shared" si="112"/>
        <v>1.1918921550201986</v>
      </c>
      <c r="N161" s="372">
        <f t="shared" si="112"/>
        <v>1.1941334736800684</v>
      </c>
      <c r="O161" s="373">
        <f t="shared" si="112"/>
        <v>1.1937604484852771</v>
      </c>
      <c r="P161" s="373">
        <f t="shared" si="112"/>
        <v>1.1933530816239972</v>
      </c>
      <c r="Q161" s="373">
        <f t="shared" si="112"/>
        <v>1.1929082383857044</v>
      </c>
      <c r="R161" s="373">
        <f t="shared" si="112"/>
        <v>1.192422503112103</v>
      </c>
      <c r="S161" s="374">
        <f t="shared" si="112"/>
        <v>1.1918921550201986</v>
      </c>
      <c r="Y161" s="355"/>
    </row>
    <row r="162" spans="1:25" s="385" customFormat="1" hidden="1" x14ac:dyDescent="0.15">
      <c r="A162" s="369" t="s">
        <v>98</v>
      </c>
      <c r="B162" s="380">
        <f t="shared" ref="B162:S162" si="113">AccountsPayable/(COGS/365)</f>
        <v>54.358345944869114</v>
      </c>
      <c r="C162" s="381">
        <f t="shared" si="113"/>
        <v>54.358345944869122</v>
      </c>
      <c r="D162" s="381">
        <f t="shared" si="113"/>
        <v>54.358345944869107</v>
      </c>
      <c r="E162" s="381">
        <f t="shared" si="113"/>
        <v>54.358345944869114</v>
      </c>
      <c r="F162" s="381">
        <f t="shared" si="113"/>
        <v>54.358345944869122</v>
      </c>
      <c r="G162" s="381">
        <f t="shared" si="113"/>
        <v>54.358345944869114</v>
      </c>
      <c r="H162" s="382">
        <f t="shared" si="113"/>
        <v>54.358345944869114</v>
      </c>
      <c r="I162" s="383">
        <f t="shared" si="113"/>
        <v>54.358345944869122</v>
      </c>
      <c r="J162" s="383">
        <f t="shared" si="113"/>
        <v>54.358345944869107</v>
      </c>
      <c r="K162" s="383">
        <f t="shared" si="113"/>
        <v>54.358345944869114</v>
      </c>
      <c r="L162" s="383">
        <f t="shared" si="113"/>
        <v>54.358345944869122</v>
      </c>
      <c r="M162" s="384">
        <f t="shared" si="113"/>
        <v>54.358345944869114</v>
      </c>
      <c r="N162" s="382">
        <f t="shared" si="113"/>
        <v>54.358345944869114</v>
      </c>
      <c r="O162" s="383">
        <f t="shared" si="113"/>
        <v>54.358345944869122</v>
      </c>
      <c r="P162" s="383">
        <f t="shared" si="113"/>
        <v>54.358345944869107</v>
      </c>
      <c r="Q162" s="383">
        <f t="shared" si="113"/>
        <v>54.358345944869114</v>
      </c>
      <c r="R162" s="383">
        <f t="shared" si="113"/>
        <v>54.358345944869122</v>
      </c>
      <c r="S162" s="384">
        <f t="shared" si="113"/>
        <v>54.358345944869114</v>
      </c>
      <c r="Y162" s="386"/>
    </row>
    <row r="163" spans="1:25" s="385" customFormat="1" hidden="1" x14ac:dyDescent="0.15">
      <c r="A163" s="369" t="s">
        <v>99</v>
      </c>
      <c r="B163" s="380">
        <f t="shared" ref="B163:S163" si="114">InventoryTurnover+DSO-AccountsPayableTurnover</f>
        <v>126.43193036224429</v>
      </c>
      <c r="C163" s="381">
        <f t="shared" si="114"/>
        <v>126.43193036224429</v>
      </c>
      <c r="D163" s="381">
        <f t="shared" si="114"/>
        <v>126.43193036224426</v>
      </c>
      <c r="E163" s="381">
        <f t="shared" si="114"/>
        <v>126.43193036224429</v>
      </c>
      <c r="F163" s="381">
        <f t="shared" si="114"/>
        <v>126.43193036224429</v>
      </c>
      <c r="G163" s="381">
        <f t="shared" si="114"/>
        <v>126.43193036224429</v>
      </c>
      <c r="H163" s="382">
        <f t="shared" si="114"/>
        <v>126.43193036224429</v>
      </c>
      <c r="I163" s="383">
        <f t="shared" si="114"/>
        <v>126.43193036224429</v>
      </c>
      <c r="J163" s="383">
        <f t="shared" si="114"/>
        <v>126.43193036224426</v>
      </c>
      <c r="K163" s="383">
        <f t="shared" si="114"/>
        <v>126.43193036224429</v>
      </c>
      <c r="L163" s="383">
        <f t="shared" si="114"/>
        <v>126.43193036224429</v>
      </c>
      <c r="M163" s="384">
        <f t="shared" si="114"/>
        <v>126.43193036224429</v>
      </c>
      <c r="N163" s="382">
        <f t="shared" si="114"/>
        <v>126.43193036224429</v>
      </c>
      <c r="O163" s="383">
        <f t="shared" si="114"/>
        <v>126.43193036224429</v>
      </c>
      <c r="P163" s="383">
        <f t="shared" si="114"/>
        <v>126.43193036224426</v>
      </c>
      <c r="Q163" s="383">
        <f t="shared" si="114"/>
        <v>126.43193036224429</v>
      </c>
      <c r="R163" s="383">
        <f t="shared" si="114"/>
        <v>126.43193036224429</v>
      </c>
      <c r="S163" s="384">
        <f t="shared" si="114"/>
        <v>126.43193036224429</v>
      </c>
      <c r="Y163" s="386"/>
    </row>
    <row r="164" spans="1:25" s="255" customFormat="1" hidden="1" x14ac:dyDescent="0.15">
      <c r="A164" s="369"/>
      <c r="B164" s="375"/>
      <c r="C164" s="376"/>
      <c r="D164" s="376"/>
      <c r="E164" s="376"/>
      <c r="F164" s="376"/>
      <c r="G164" s="376"/>
      <c r="H164" s="377"/>
      <c r="I164" s="378"/>
      <c r="J164" s="378"/>
      <c r="K164" s="378"/>
      <c r="L164" s="378"/>
      <c r="M164" s="379"/>
      <c r="N164" s="377"/>
      <c r="O164" s="378"/>
      <c r="P164" s="378"/>
      <c r="Q164" s="378"/>
      <c r="R164" s="378"/>
      <c r="S164" s="379"/>
      <c r="Y164" s="355"/>
    </row>
    <row r="165" spans="1:25" s="255" customFormat="1" hidden="1" x14ac:dyDescent="0.15">
      <c r="A165" s="364" t="s">
        <v>100</v>
      </c>
      <c r="B165" s="375"/>
      <c r="C165" s="376"/>
      <c r="D165" s="376"/>
      <c r="E165" s="376"/>
      <c r="F165" s="376"/>
      <c r="G165" s="376"/>
      <c r="H165" s="377"/>
      <c r="I165" s="378"/>
      <c r="J165" s="378"/>
      <c r="K165" s="378"/>
      <c r="L165" s="378"/>
      <c r="M165" s="379"/>
      <c r="N165" s="377"/>
      <c r="O165" s="378"/>
      <c r="P165" s="378"/>
      <c r="Q165" s="378"/>
      <c r="R165" s="378"/>
      <c r="S165" s="379"/>
      <c r="Y165" s="355"/>
    </row>
    <row r="166" spans="1:25" s="255" customFormat="1" hidden="1" x14ac:dyDescent="0.15">
      <c r="A166" s="369" t="s">
        <v>101</v>
      </c>
      <c r="B166" s="387">
        <f t="shared" ref="B166:S166" si="115">TotalDebt/TotalAssets</f>
        <v>0.77040520201076212</v>
      </c>
      <c r="C166" s="388">
        <f t="shared" si="115"/>
        <v>2.3263525574773838</v>
      </c>
      <c r="D166" s="388">
        <f t="shared" si="115"/>
        <v>7.2864930099076366</v>
      </c>
      <c r="E166" s="388">
        <f t="shared" si="115"/>
        <v>23.041662804002417</v>
      </c>
      <c r="F166" s="388">
        <f t="shared" si="115"/>
        <v>73.015107244515207</v>
      </c>
      <c r="G166" s="388">
        <f t="shared" si="115"/>
        <v>231.4345208017576</v>
      </c>
      <c r="H166" s="389">
        <f t="shared" si="115"/>
        <v>0.77040520201076212</v>
      </c>
      <c r="I166" s="390">
        <f t="shared" si="115"/>
        <v>0.81167102050731865</v>
      </c>
      <c r="J166" s="390">
        <f t="shared" si="115"/>
        <v>0.8567358772350242</v>
      </c>
      <c r="K166" s="390">
        <f t="shared" si="115"/>
        <v>0.90594654875839464</v>
      </c>
      <c r="L166" s="390">
        <f t="shared" si="115"/>
        <v>0.95968089141860879</v>
      </c>
      <c r="M166" s="391">
        <f t="shared" si="115"/>
        <v>1.0183505159000663</v>
      </c>
      <c r="N166" s="389">
        <f t="shared" si="115"/>
        <v>0.77040520201076212</v>
      </c>
      <c r="O166" s="390">
        <f t="shared" si="115"/>
        <v>0.81167102050731865</v>
      </c>
      <c r="P166" s="390">
        <f t="shared" si="115"/>
        <v>0.8567358772350242</v>
      </c>
      <c r="Q166" s="390">
        <f t="shared" si="115"/>
        <v>0.90594654875839464</v>
      </c>
      <c r="R166" s="390">
        <f t="shared" si="115"/>
        <v>0.95968089141860879</v>
      </c>
      <c r="S166" s="391">
        <f t="shared" si="115"/>
        <v>1.0183505159000663</v>
      </c>
      <c r="Y166" s="355"/>
    </row>
    <row r="167" spans="1:25" s="255" customFormat="1" hidden="1" x14ac:dyDescent="0.15">
      <c r="A167" s="369" t="s">
        <v>102</v>
      </c>
      <c r="B167" s="370">
        <f t="shared" ref="B167:S167" si="116">EBIT/Interest</f>
        <v>-0.53179673484537471</v>
      </c>
      <c r="C167" s="371">
        <f t="shared" si="116"/>
        <v>-0.11806894221229684</v>
      </c>
      <c r="D167" s="371">
        <f t="shared" si="116"/>
        <v>-3.391537099428351E-2</v>
      </c>
      <c r="E167" s="371">
        <f t="shared" si="116"/>
        <v>-1.0387810554538236E-2</v>
      </c>
      <c r="F167" s="371">
        <f t="shared" si="116"/>
        <v>-3.2448337163557221E-3</v>
      </c>
      <c r="G167" s="371">
        <f t="shared" si="116"/>
        <v>-1.0201127890968101E-3</v>
      </c>
      <c r="H167" s="372">
        <f t="shared" si="116"/>
        <v>-0.53179673484537471</v>
      </c>
      <c r="I167" s="373">
        <f t="shared" si="116"/>
        <v>-0.48664719205700219</v>
      </c>
      <c r="J167" s="373">
        <f t="shared" si="116"/>
        <v>-0.44533084545136298</v>
      </c>
      <c r="K167" s="373">
        <f t="shared" si="116"/>
        <v>-0.40752225667254205</v>
      </c>
      <c r="L167" s="373">
        <f t="shared" si="116"/>
        <v>-0.37292361708104332</v>
      </c>
      <c r="M167" s="374">
        <f t="shared" si="116"/>
        <v>-0.34126240199086272</v>
      </c>
      <c r="N167" s="372">
        <f t="shared" si="116"/>
        <v>-0.53179673484537471</v>
      </c>
      <c r="O167" s="373">
        <f t="shared" si="116"/>
        <v>-0.48664719205700219</v>
      </c>
      <c r="P167" s="373">
        <f t="shared" si="116"/>
        <v>-0.44533084545136298</v>
      </c>
      <c r="Q167" s="373">
        <f t="shared" si="116"/>
        <v>-0.40752225667254205</v>
      </c>
      <c r="R167" s="373">
        <f t="shared" si="116"/>
        <v>-0.37292361708104332</v>
      </c>
      <c r="S167" s="374">
        <f t="shared" si="116"/>
        <v>-0.34126240199086272</v>
      </c>
      <c r="Y167" s="355"/>
    </row>
    <row r="168" spans="1:25" s="255" customFormat="1" hidden="1" x14ac:dyDescent="0.15">
      <c r="A168" s="259" t="s">
        <v>103</v>
      </c>
      <c r="B168" s="375"/>
      <c r="C168" s="376"/>
      <c r="D168" s="376"/>
      <c r="E168" s="376"/>
      <c r="F168" s="376"/>
      <c r="G168" s="376"/>
      <c r="H168" s="377"/>
      <c r="I168" s="378"/>
      <c r="J168" s="378"/>
      <c r="K168" s="378"/>
      <c r="L168" s="378"/>
      <c r="M168" s="379"/>
      <c r="N168" s="377"/>
      <c r="O168" s="378"/>
      <c r="P168" s="378"/>
      <c r="Q168" s="378"/>
      <c r="R168" s="378"/>
      <c r="S168" s="379"/>
      <c r="Y168" s="355"/>
    </row>
    <row r="169" spans="1:25" s="255" customFormat="1" hidden="1" x14ac:dyDescent="0.15">
      <c r="A169" s="364" t="s">
        <v>104</v>
      </c>
      <c r="B169" s="375"/>
      <c r="C169" s="376"/>
      <c r="D169" s="376"/>
      <c r="E169" s="376"/>
      <c r="F169" s="376"/>
      <c r="G169" s="376"/>
      <c r="H169" s="377"/>
      <c r="I169" s="378"/>
      <c r="J169" s="378"/>
      <c r="K169" s="378"/>
      <c r="L169" s="378"/>
      <c r="M169" s="379"/>
      <c r="N169" s="377"/>
      <c r="O169" s="378"/>
      <c r="P169" s="378"/>
      <c r="Q169" s="378"/>
      <c r="R169" s="378"/>
      <c r="S169" s="379"/>
      <c r="Y169" s="355"/>
    </row>
    <row r="170" spans="1:25" s="255" customFormat="1" hidden="1" x14ac:dyDescent="0.15">
      <c r="A170" s="369" t="s">
        <v>105</v>
      </c>
      <c r="B170" s="387">
        <f t="shared" ref="B170:S170" si="117">NetIncome/Sales</f>
        <v>-0.62185484884120856</v>
      </c>
      <c r="C170" s="388">
        <f t="shared" si="117"/>
        <v>-1.9141634738520132</v>
      </c>
      <c r="D170" s="388">
        <f t="shared" si="117"/>
        <v>-6.0358332345080701</v>
      </c>
      <c r="E170" s="388">
        <f t="shared" si="117"/>
        <v>-19.133356863348219</v>
      </c>
      <c r="F170" s="388">
        <f t="shared" si="117"/>
        <v>-60.695282488546134</v>
      </c>
      <c r="G170" s="388">
        <f t="shared" si="117"/>
        <v>-192.51117890717575</v>
      </c>
      <c r="H170" s="389">
        <f t="shared" si="117"/>
        <v>-0.62185484884120856</v>
      </c>
      <c r="I170" s="390">
        <f t="shared" si="117"/>
        <v>-0.65607062168775543</v>
      </c>
      <c r="J170" s="390">
        <f t="shared" si="117"/>
        <v>-0.69346082259098696</v>
      </c>
      <c r="K170" s="390">
        <f t="shared" si="117"/>
        <v>-0.73431996465549476</v>
      </c>
      <c r="L170" s="390">
        <f t="shared" si="117"/>
        <v>-0.77896988495328534</v>
      </c>
      <c r="M170" s="391">
        <f t="shared" si="117"/>
        <v>-0.82776227955255366</v>
      </c>
      <c r="N170" s="389">
        <f t="shared" si="117"/>
        <v>-0.62185484884120856</v>
      </c>
      <c r="O170" s="390">
        <f t="shared" si="117"/>
        <v>-0.65607062168775543</v>
      </c>
      <c r="P170" s="390">
        <f t="shared" si="117"/>
        <v>-0.69346082259098696</v>
      </c>
      <c r="Q170" s="390">
        <f t="shared" si="117"/>
        <v>-0.73431996465549476</v>
      </c>
      <c r="R170" s="390">
        <f t="shared" si="117"/>
        <v>-0.77896988495328534</v>
      </c>
      <c r="S170" s="391">
        <f t="shared" si="117"/>
        <v>-0.82776227955255366</v>
      </c>
      <c r="Y170" s="355"/>
    </row>
    <row r="171" spans="1:25" s="255" customFormat="1" hidden="1" x14ac:dyDescent="0.15">
      <c r="A171" s="369" t="s">
        <v>106</v>
      </c>
      <c r="B171" s="387">
        <f t="shared" ref="B171:S171" si="118">EBIT/TotalAssets</f>
        <v>-0.23256200013772343</v>
      </c>
      <c r="C171" s="388">
        <f t="shared" si="118"/>
        <v>-0.23248935207340343</v>
      </c>
      <c r="D171" s="388">
        <f t="shared" si="118"/>
        <v>-0.23241001583994458</v>
      </c>
      <c r="E171" s="388">
        <f t="shared" si="118"/>
        <v>-0.2323233809406427</v>
      </c>
      <c r="F171" s="388">
        <f t="shared" si="118"/>
        <v>-0.23222878216315598</v>
      </c>
      <c r="G171" s="388">
        <f t="shared" si="118"/>
        <v>-0.23212549487095532</v>
      </c>
      <c r="H171" s="389">
        <f t="shared" si="118"/>
        <v>-0.23256200013772343</v>
      </c>
      <c r="I171" s="390">
        <f t="shared" si="118"/>
        <v>-0.23248935207340343</v>
      </c>
      <c r="J171" s="390">
        <f t="shared" si="118"/>
        <v>-0.23241001583994458</v>
      </c>
      <c r="K171" s="390">
        <f t="shared" si="118"/>
        <v>-0.2323233809406427</v>
      </c>
      <c r="L171" s="390">
        <f t="shared" si="118"/>
        <v>-0.23222878216315598</v>
      </c>
      <c r="M171" s="391">
        <f t="shared" si="118"/>
        <v>-0.23212549487095532</v>
      </c>
      <c r="N171" s="389">
        <f t="shared" si="118"/>
        <v>-0.23256200013772343</v>
      </c>
      <c r="O171" s="390">
        <f t="shared" si="118"/>
        <v>-0.23248935207340343</v>
      </c>
      <c r="P171" s="390">
        <f t="shared" si="118"/>
        <v>-0.23241001583994458</v>
      </c>
      <c r="Q171" s="390">
        <f t="shared" si="118"/>
        <v>-0.2323233809406427</v>
      </c>
      <c r="R171" s="390">
        <f t="shared" si="118"/>
        <v>-0.23222878216315598</v>
      </c>
      <c r="S171" s="391">
        <f t="shared" si="118"/>
        <v>-0.23212549487095532</v>
      </c>
      <c r="Y171" s="355"/>
    </row>
    <row r="172" spans="1:25" s="255" customFormat="1" hidden="1" x14ac:dyDescent="0.15">
      <c r="A172" s="369" t="s">
        <v>107</v>
      </c>
      <c r="B172" s="387">
        <f t="shared" ref="B172:S172" si="119">NetIncome/TotalAssets</f>
        <v>-0.74257769077154634</v>
      </c>
      <c r="C172" s="388">
        <f t="shared" si="119"/>
        <v>-2.2850526470197154</v>
      </c>
      <c r="D172" s="388">
        <f t="shared" si="119"/>
        <v>-7.2028801905687452</v>
      </c>
      <c r="E172" s="388">
        <f t="shared" si="119"/>
        <v>-22.824339030261751</v>
      </c>
      <c r="F172" s="388">
        <f t="shared" si="119"/>
        <v>-72.374420672088377</v>
      </c>
      <c r="G172" s="388">
        <f t="shared" si="119"/>
        <v>-229.45256389315267</v>
      </c>
      <c r="H172" s="389">
        <f t="shared" si="119"/>
        <v>-0.74257769077154634</v>
      </c>
      <c r="I172" s="390">
        <f t="shared" si="119"/>
        <v>-0.78319115958398944</v>
      </c>
      <c r="J172" s="390">
        <f t="shared" si="119"/>
        <v>-0.82754360962446638</v>
      </c>
      <c r="K172" s="390">
        <f t="shared" si="119"/>
        <v>-0.87597633544863895</v>
      </c>
      <c r="L172" s="390">
        <f t="shared" si="119"/>
        <v>-0.92886122006494343</v>
      </c>
      <c r="M172" s="391">
        <f t="shared" si="119"/>
        <v>-0.98660336722032516</v>
      </c>
      <c r="N172" s="389">
        <f t="shared" si="119"/>
        <v>-0.74257769077154634</v>
      </c>
      <c r="O172" s="390">
        <f t="shared" si="119"/>
        <v>-0.78319115958398944</v>
      </c>
      <c r="P172" s="390">
        <f t="shared" si="119"/>
        <v>-0.82754360962446638</v>
      </c>
      <c r="Q172" s="390">
        <f t="shared" si="119"/>
        <v>-0.87597633544863895</v>
      </c>
      <c r="R172" s="390">
        <f t="shared" si="119"/>
        <v>-0.92886122006494343</v>
      </c>
      <c r="S172" s="391">
        <f t="shared" si="119"/>
        <v>-0.98660336722032516</v>
      </c>
      <c r="Y172" s="355"/>
    </row>
    <row r="173" spans="1:25" s="255" customFormat="1" hidden="1" x14ac:dyDescent="0.15">
      <c r="A173" s="369" t="s">
        <v>108</v>
      </c>
      <c r="B173" s="387">
        <f t="shared" ref="B173:S173" si="120">NetIncome/CommonEquity</f>
        <v>-4.5610767452926382</v>
      </c>
      <c r="C173" s="388">
        <f t="shared" si="120"/>
        <v>1.4058728263458082</v>
      </c>
      <c r="D173" s="388">
        <f t="shared" si="120"/>
        <v>0.98322586085432906</v>
      </c>
      <c r="E173" s="388">
        <f t="shared" si="120"/>
        <v>0.89745721635440989</v>
      </c>
      <c r="F173" s="388">
        <f t="shared" si="120"/>
        <v>0.87341567184507507</v>
      </c>
      <c r="G173" s="388">
        <f t="shared" si="120"/>
        <v>0.86610258768864978</v>
      </c>
      <c r="H173" s="389">
        <f t="shared" si="120"/>
        <v>-4.5610767452926382</v>
      </c>
      <c r="I173" s="390">
        <f t="shared" si="120"/>
        <v>1.1610724924805982</v>
      </c>
      <c r="J173" s="390">
        <f t="shared" si="120"/>
        <v>0.50186702428031083</v>
      </c>
      <c r="K173" s="390">
        <f t="shared" si="120"/>
        <v>0.31505141007274368</v>
      </c>
      <c r="L173" s="390">
        <f t="shared" si="120"/>
        <v>0.2269925830140786</v>
      </c>
      <c r="M173" s="391">
        <f t="shared" si="120"/>
        <v>0.17585943291194583</v>
      </c>
      <c r="N173" s="389">
        <f t="shared" si="120"/>
        <v>-4.5610767452926382</v>
      </c>
      <c r="O173" s="390">
        <f t="shared" si="120"/>
        <v>1.1610724924805982</v>
      </c>
      <c r="P173" s="390">
        <f t="shared" si="120"/>
        <v>0.50186702428031083</v>
      </c>
      <c r="Q173" s="390">
        <f t="shared" si="120"/>
        <v>0.31505141007274368</v>
      </c>
      <c r="R173" s="390">
        <f t="shared" si="120"/>
        <v>0.2269925830140786</v>
      </c>
      <c r="S173" s="391">
        <f t="shared" si="120"/>
        <v>0.17585943291194583</v>
      </c>
      <c r="Y173" s="355"/>
    </row>
    <row r="174" spans="1:25" s="255" customFormat="1" hidden="1" x14ac:dyDescent="0.15">
      <c r="A174" s="369"/>
      <c r="B174" s="375"/>
      <c r="C174" s="376"/>
      <c r="D174" s="376"/>
      <c r="E174" s="376"/>
      <c r="F174" s="376"/>
      <c r="G174" s="376"/>
      <c r="H174" s="377"/>
      <c r="I174" s="378"/>
      <c r="J174" s="378"/>
      <c r="K174" s="378"/>
      <c r="L174" s="378"/>
      <c r="M174" s="379"/>
      <c r="N174" s="377"/>
      <c r="O174" s="378"/>
      <c r="P174" s="378"/>
      <c r="Q174" s="378"/>
      <c r="R174" s="378"/>
      <c r="S174" s="379"/>
      <c r="Y174" s="355"/>
    </row>
    <row r="175" spans="1:25" s="255" customFormat="1" ht="14.25" hidden="1" customHeight="1" x14ac:dyDescent="0.15">
      <c r="A175" s="364" t="s">
        <v>109</v>
      </c>
      <c r="B175" s="375"/>
      <c r="C175" s="376"/>
      <c r="D175" s="376"/>
      <c r="E175" s="376"/>
      <c r="F175" s="376"/>
      <c r="G175" s="376"/>
      <c r="H175" s="377"/>
      <c r="I175" s="378"/>
      <c r="J175" s="378"/>
      <c r="K175" s="378"/>
      <c r="L175" s="378"/>
      <c r="M175" s="379"/>
      <c r="N175" s="377"/>
      <c r="O175" s="378"/>
      <c r="P175" s="378"/>
      <c r="Q175" s="378"/>
      <c r="R175" s="378"/>
      <c r="S175" s="379"/>
      <c r="Y175" s="355"/>
    </row>
    <row r="176" spans="1:25" s="255" customFormat="1" hidden="1" x14ac:dyDescent="0.15">
      <c r="A176" s="369" t="s">
        <v>110</v>
      </c>
      <c r="B176" s="370">
        <f t="shared" ref="B176:S176" si="121">MVPS/EPS</f>
        <v>-0.73636187202135506</v>
      </c>
      <c r="C176" s="371" t="e">
        <f t="shared" si="121"/>
        <v>#DIV/0!</v>
      </c>
      <c r="D176" s="371" t="e">
        <f t="shared" si="121"/>
        <v>#DIV/0!</v>
      </c>
      <c r="E176" s="371" t="e">
        <f t="shared" si="121"/>
        <v>#DIV/0!</v>
      </c>
      <c r="F176" s="371" t="e">
        <f t="shared" si="121"/>
        <v>#DIV/0!</v>
      </c>
      <c r="G176" s="371" t="e">
        <f t="shared" si="121"/>
        <v>#DIV/0!</v>
      </c>
      <c r="H176" s="372">
        <f t="shared" si="121"/>
        <v>-0.73636187202135506</v>
      </c>
      <c r="I176" s="373" t="e">
        <f t="shared" si="121"/>
        <v>#DIV/0!</v>
      </c>
      <c r="J176" s="373" t="e">
        <f t="shared" si="121"/>
        <v>#DIV/0!</v>
      </c>
      <c r="K176" s="373" t="e">
        <f t="shared" si="121"/>
        <v>#DIV/0!</v>
      </c>
      <c r="L176" s="373" t="e">
        <f t="shared" si="121"/>
        <v>#DIV/0!</v>
      </c>
      <c r="M176" s="374" t="e">
        <f t="shared" si="121"/>
        <v>#DIV/0!</v>
      </c>
      <c r="N176" s="372">
        <f t="shared" si="121"/>
        <v>-0.73636187202135506</v>
      </c>
      <c r="O176" s="373" t="e">
        <f t="shared" si="121"/>
        <v>#DIV/0!</v>
      </c>
      <c r="P176" s="373" t="e">
        <f t="shared" si="121"/>
        <v>#DIV/0!</v>
      </c>
      <c r="Q176" s="373" t="e">
        <f t="shared" si="121"/>
        <v>#DIV/0!</v>
      </c>
      <c r="R176" s="373" t="e">
        <f t="shared" si="121"/>
        <v>#DIV/0!</v>
      </c>
      <c r="S176" s="374" t="e">
        <f t="shared" si="121"/>
        <v>#DIV/0!</v>
      </c>
      <c r="Y176" s="355"/>
    </row>
    <row r="177" spans="1:37" s="255" customFormat="1" hidden="1" x14ac:dyDescent="0.15">
      <c r="A177" s="369" t="s">
        <v>111</v>
      </c>
      <c r="B177" s="370">
        <f t="shared" ref="B177:S177" si="122">MVPS/((NetIncome+Depreciation)/No.Of.Shares)</f>
        <v>-0.7896795824609445</v>
      </c>
      <c r="C177" s="371" t="e">
        <f t="shared" si="122"/>
        <v>#DIV/0!</v>
      </c>
      <c r="D177" s="371" t="e">
        <f t="shared" si="122"/>
        <v>#DIV/0!</v>
      </c>
      <c r="E177" s="371" t="e">
        <f t="shared" si="122"/>
        <v>#DIV/0!</v>
      </c>
      <c r="F177" s="371" t="e">
        <f t="shared" si="122"/>
        <v>#DIV/0!</v>
      </c>
      <c r="G177" s="371" t="e">
        <f t="shared" si="122"/>
        <v>#DIV/0!</v>
      </c>
      <c r="H177" s="372">
        <f t="shared" si="122"/>
        <v>-0.7896795824609445</v>
      </c>
      <c r="I177" s="373" t="e">
        <f t="shared" si="122"/>
        <v>#DIV/0!</v>
      </c>
      <c r="J177" s="373" t="e">
        <f t="shared" si="122"/>
        <v>#DIV/0!</v>
      </c>
      <c r="K177" s="373" t="e">
        <f t="shared" si="122"/>
        <v>#DIV/0!</v>
      </c>
      <c r="L177" s="373" t="e">
        <f t="shared" si="122"/>
        <v>#DIV/0!</v>
      </c>
      <c r="M177" s="374" t="e">
        <f t="shared" si="122"/>
        <v>#DIV/0!</v>
      </c>
      <c r="N177" s="372">
        <f t="shared" si="122"/>
        <v>-0.7896795824609445</v>
      </c>
      <c r="O177" s="373" t="e">
        <f t="shared" si="122"/>
        <v>#DIV/0!</v>
      </c>
      <c r="P177" s="373" t="e">
        <f t="shared" si="122"/>
        <v>#DIV/0!</v>
      </c>
      <c r="Q177" s="373" t="e">
        <f t="shared" si="122"/>
        <v>#DIV/0!</v>
      </c>
      <c r="R177" s="373" t="e">
        <f t="shared" si="122"/>
        <v>#DIV/0!</v>
      </c>
      <c r="S177" s="374" t="e">
        <f t="shared" si="122"/>
        <v>#DIV/0!</v>
      </c>
      <c r="Y177" s="355"/>
    </row>
    <row r="178" spans="1:37" s="255" customFormat="1" hidden="1" x14ac:dyDescent="0.15">
      <c r="A178" s="259" t="s">
        <v>112</v>
      </c>
      <c r="B178" s="392">
        <f t="shared" ref="B178:S178" si="123">MVPS/BVPS</f>
        <v>3.3586030105967568</v>
      </c>
      <c r="C178" s="393" t="e">
        <f t="shared" si="123"/>
        <v>#DIV/0!</v>
      </c>
      <c r="D178" s="393" t="e">
        <f t="shared" si="123"/>
        <v>#DIV/0!</v>
      </c>
      <c r="E178" s="393" t="e">
        <f t="shared" si="123"/>
        <v>#DIV/0!</v>
      </c>
      <c r="F178" s="393" t="e">
        <f t="shared" si="123"/>
        <v>#DIV/0!</v>
      </c>
      <c r="G178" s="393" t="e">
        <f t="shared" si="123"/>
        <v>#DIV/0!</v>
      </c>
      <c r="H178" s="394">
        <f t="shared" si="123"/>
        <v>3.3586030105967568</v>
      </c>
      <c r="I178" s="395" t="e">
        <f t="shared" si="123"/>
        <v>#DIV/0!</v>
      </c>
      <c r="J178" s="395" t="e">
        <f t="shared" si="123"/>
        <v>#DIV/0!</v>
      </c>
      <c r="K178" s="395" t="e">
        <f t="shared" si="123"/>
        <v>#DIV/0!</v>
      </c>
      <c r="L178" s="395" t="e">
        <f t="shared" si="123"/>
        <v>#DIV/0!</v>
      </c>
      <c r="M178" s="396" t="e">
        <f t="shared" si="123"/>
        <v>#DIV/0!</v>
      </c>
      <c r="N178" s="394">
        <f t="shared" si="123"/>
        <v>3.3586030105967568</v>
      </c>
      <c r="O178" s="395" t="e">
        <f t="shared" si="123"/>
        <v>#DIV/0!</v>
      </c>
      <c r="P178" s="395" t="e">
        <f t="shared" si="123"/>
        <v>#DIV/0!</v>
      </c>
      <c r="Q178" s="395" t="e">
        <f t="shared" si="123"/>
        <v>#DIV/0!</v>
      </c>
      <c r="R178" s="395" t="e">
        <f t="shared" si="123"/>
        <v>#DIV/0!</v>
      </c>
      <c r="S178" s="396" t="e">
        <f t="shared" si="123"/>
        <v>#DIV/0!</v>
      </c>
      <c r="T178" s="397"/>
      <c r="U178" s="397"/>
      <c r="V178" s="398"/>
    </row>
    <row r="179" spans="1:37" s="255" customFormat="1" ht="14" hidden="1" thickBot="1" x14ac:dyDescent="0.2">
      <c r="A179" s="399" t="s">
        <v>113</v>
      </c>
      <c r="B179" s="400">
        <f t="shared" ref="B179:S179" si="124">CommonEquity/No.Of.Shares</f>
        <v>4.4423231780968999</v>
      </c>
      <c r="C179" s="401">
        <f t="shared" si="124"/>
        <v>-21.116863784588478</v>
      </c>
      <c r="D179" s="401">
        <f t="shared" si="124"/>
        <v>-36.534666917819763</v>
      </c>
      <c r="E179" s="401">
        <f t="shared" si="124"/>
        <v>-43.287495781574073</v>
      </c>
      <c r="F179" s="401">
        <f t="shared" si="124"/>
        <v>-45.802796185460643</v>
      </c>
      <c r="G179" s="401">
        <f t="shared" si="124"/>
        <v>-46.680250602566865</v>
      </c>
      <c r="H179" s="402">
        <f t="shared" si="124"/>
        <v>4.4423231780968999</v>
      </c>
      <c r="I179" s="401">
        <f t="shared" si="124"/>
        <v>-16.847998494742868</v>
      </c>
      <c r="J179" s="401">
        <f t="shared" si="124"/>
        <v>-37.701522203737461</v>
      </c>
      <c r="K179" s="401">
        <f t="shared" si="124"/>
        <v>-58.196662509393903</v>
      </c>
      <c r="L179" s="401">
        <f t="shared" si="124"/>
        <v>-78.410049431769295</v>
      </c>
      <c r="M179" s="403">
        <f t="shared" si="124"/>
        <v>-98.417254467646373</v>
      </c>
      <c r="N179" s="402">
        <f t="shared" si="124"/>
        <v>4.4423231780968999</v>
      </c>
      <c r="O179" s="401">
        <f t="shared" si="124"/>
        <v>-16.847998494742868</v>
      </c>
      <c r="P179" s="401">
        <f t="shared" si="124"/>
        <v>-37.701522203737461</v>
      </c>
      <c r="Q179" s="401">
        <f t="shared" si="124"/>
        <v>-58.196662509393903</v>
      </c>
      <c r="R179" s="401">
        <f t="shared" si="124"/>
        <v>-78.410049431769295</v>
      </c>
      <c r="S179" s="403">
        <f t="shared" si="124"/>
        <v>-98.417254467646373</v>
      </c>
      <c r="T179" s="355"/>
      <c r="U179" s="355"/>
      <c r="V179" s="355"/>
      <c r="Y179" s="330"/>
    </row>
    <row r="180" spans="1:37" s="255" customFormat="1" x14ac:dyDescent="0.15">
      <c r="B180" s="404"/>
      <c r="T180" s="330"/>
      <c r="U180" s="330"/>
      <c r="V180" s="330"/>
      <c r="W180" s="330"/>
      <c r="X180" s="330"/>
      <c r="Y180" s="263"/>
      <c r="Z180" s="355"/>
      <c r="AA180" s="355"/>
      <c r="AB180" s="355"/>
      <c r="AC180" s="355"/>
      <c r="AD180" s="355"/>
      <c r="AE180" s="355"/>
      <c r="AF180" s="355"/>
      <c r="AG180" s="355"/>
      <c r="AH180" s="355"/>
      <c r="AK180" s="330"/>
    </row>
    <row r="181" spans="1:37" s="258" customFormat="1" x14ac:dyDescent="0.15"/>
    <row r="182" spans="1:37" s="258" customFormat="1" x14ac:dyDescent="0.15"/>
    <row r="183" spans="1:37" s="258" customFormat="1" x14ac:dyDescent="0.15"/>
    <row r="184" spans="1:37" s="258" customFormat="1" x14ac:dyDescent="0.15"/>
    <row r="185" spans="1:37" s="258" customFormat="1" x14ac:dyDescent="0.15"/>
    <row r="186" spans="1:37" s="258" customFormat="1" x14ac:dyDescent="0.15"/>
    <row r="187" spans="1:37" s="258" customFormat="1" x14ac:dyDescent="0.15"/>
    <row r="188" spans="1:37" s="258" customFormat="1" x14ac:dyDescent="0.15"/>
    <row r="189" spans="1:37" s="258" customFormat="1" x14ac:dyDescent="0.15"/>
    <row r="190" spans="1:37" s="258" customFormat="1" x14ac:dyDescent="0.15"/>
    <row r="191" spans="1:37" s="258" customFormat="1" x14ac:dyDescent="0.15"/>
    <row r="192" spans="1:37" s="258" customFormat="1" x14ac:dyDescent="0.15"/>
    <row r="193" s="258" customFormat="1" x14ac:dyDescent="0.15"/>
    <row r="194" s="258" customFormat="1" x14ac:dyDescent="0.15"/>
    <row r="195" s="258" customFormat="1" x14ac:dyDescent="0.15"/>
    <row r="196" s="258" customFormat="1" x14ac:dyDescent="0.15"/>
    <row r="197" s="258" customFormat="1" x14ac:dyDescent="0.15"/>
    <row r="198" s="258" customFormat="1" x14ac:dyDescent="0.15"/>
    <row r="199" s="258" customFormat="1" x14ac:dyDescent="0.15"/>
    <row r="200" s="258" customFormat="1" x14ac:dyDescent="0.15"/>
    <row r="201" s="258" customFormat="1" x14ac:dyDescent="0.15"/>
  </sheetData>
  <sheetProtection password="ED84" sheet="1" scenarios="1" formatCells="0" formatColumns="0" formatRows="0"/>
  <mergeCells count="14">
    <mergeCell ref="T43:AK44"/>
    <mergeCell ref="T46:Y46"/>
    <mergeCell ref="Z46:AE46"/>
    <mergeCell ref="AF46:AK46"/>
    <mergeCell ref="A1:A2"/>
    <mergeCell ref="B1:G1"/>
    <mergeCell ref="H1:M1"/>
    <mergeCell ref="N1:S1"/>
    <mergeCell ref="AF1:AK1"/>
    <mergeCell ref="AF2:AK2"/>
    <mergeCell ref="T1:Y1"/>
    <mergeCell ref="T2:Y2"/>
    <mergeCell ref="Z1:AE1"/>
    <mergeCell ref="Z2:AE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34"/>
  <sheetViews>
    <sheetView showGridLines="0" zoomScale="75" workbookViewId="0">
      <selection sqref="A1:R1"/>
    </sheetView>
  </sheetViews>
  <sheetFormatPr baseColWidth="10" defaultColWidth="8.83203125" defaultRowHeight="13" x14ac:dyDescent="0.15"/>
  <cols>
    <col min="1" max="1" width="9.5" customWidth="1"/>
    <col min="2" max="2" width="9.6640625" customWidth="1"/>
    <col min="3" max="3" width="10.83203125" customWidth="1"/>
    <col min="4" max="4" width="10.33203125" customWidth="1"/>
    <col min="5" max="5" width="11.5" customWidth="1"/>
    <col min="6" max="6" width="9.83203125" customWidth="1"/>
    <col min="7" max="7" width="10.6640625" customWidth="1"/>
    <col min="8" max="8" width="0.33203125" customWidth="1"/>
    <col min="9" max="9" width="12.6640625" customWidth="1"/>
    <col min="10" max="10" width="10" customWidth="1"/>
    <col min="11" max="11" width="11.5" customWidth="1"/>
    <col min="12" max="12" width="2" customWidth="1"/>
    <col min="13" max="13" width="9.6640625" style="1" customWidth="1"/>
    <col min="14" max="14" width="3.83203125" style="1" customWidth="1"/>
    <col min="15" max="15" width="8.5" customWidth="1"/>
    <col min="16" max="16" width="2.6640625" customWidth="1"/>
    <col min="17" max="17" width="9.5" customWidth="1"/>
    <col min="18" max="18" width="2.33203125" customWidth="1"/>
  </cols>
  <sheetData>
    <row r="1" spans="1:18" ht="19" thickBot="1" x14ac:dyDescent="0.25">
      <c r="A1" s="445" t="str">
        <f>CONCATENATE("DUPONT TREE:  ",BASELINE," vs. ",SCENARIO.A," and ",SCENARIO.B)</f>
        <v>DUPONT TREE:  ELIZABETH ARDEN INC vs. SCENARIO A and SCENARIO B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</row>
    <row r="2" spans="1:18" ht="7.5" customHeight="1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</row>
    <row r="3" spans="1:18" ht="16.5" customHeight="1" thickBot="1" x14ac:dyDescent="0.25">
      <c r="A3" s="4"/>
      <c r="B3" s="5" t="s">
        <v>114</v>
      </c>
      <c r="C3" s="6"/>
      <c r="D3" s="2"/>
      <c r="E3" s="2"/>
      <c r="F3" s="2"/>
      <c r="G3" s="2"/>
      <c r="H3" s="2"/>
      <c r="I3" s="8" t="s">
        <v>115</v>
      </c>
      <c r="J3" s="4"/>
      <c r="K3" s="446">
        <f>K4-CurrentYear+1</f>
        <v>5</v>
      </c>
      <c r="L3" s="446"/>
      <c r="M3" s="446"/>
      <c r="N3" s="2"/>
      <c r="O3" s="64">
        <f>CurrentYear</f>
        <v>2015</v>
      </c>
      <c r="P3" s="2"/>
      <c r="Q3" s="2"/>
      <c r="R3" s="2"/>
    </row>
    <row r="4" spans="1:18" ht="17.25" customHeight="1" thickBot="1" x14ac:dyDescent="0.25">
      <c r="A4" s="4"/>
      <c r="B4" s="9" t="str">
        <f>BASELINE</f>
        <v>ELIZABETH ARDEN INC</v>
      </c>
      <c r="C4" s="10"/>
      <c r="D4" s="2"/>
      <c r="E4" s="2"/>
      <c r="F4" s="2"/>
      <c r="G4" s="2"/>
      <c r="H4" s="2"/>
      <c r="I4" s="11">
        <f>INDEX(SourceData ROE,0,Year)</f>
        <v>0.87341567184507507</v>
      </c>
      <c r="J4" s="4"/>
      <c r="K4" s="447">
        <f>CurrentYear+4</f>
        <v>2019</v>
      </c>
      <c r="L4" s="448"/>
      <c r="M4" s="449"/>
      <c r="N4" s="12"/>
      <c r="O4" s="64">
        <f>CurrentYear+1</f>
        <v>2016</v>
      </c>
      <c r="P4" s="2"/>
      <c r="Q4" s="2"/>
      <c r="R4" s="2"/>
    </row>
    <row r="5" spans="1:18" ht="16.5" customHeight="1" x14ac:dyDescent="0.15">
      <c r="A5" s="4"/>
      <c r="B5" s="13" t="str">
        <f>SCENARIO.A</f>
        <v>SCENARIO A</v>
      </c>
      <c r="C5" s="14"/>
      <c r="D5" s="2"/>
      <c r="E5" s="2"/>
      <c r="F5" s="2"/>
      <c r="G5" s="2"/>
      <c r="H5" s="2"/>
      <c r="I5" s="15">
        <f>INDEX(SourceData ROE,0,Year+6)</f>
        <v>0.2269925830140786</v>
      </c>
      <c r="J5" s="2"/>
      <c r="K5" s="2"/>
      <c r="L5" s="2"/>
      <c r="M5" s="3"/>
      <c r="N5" s="3"/>
      <c r="O5" s="64">
        <f>CurrentYear+2</f>
        <v>2017</v>
      </c>
      <c r="P5" s="2"/>
      <c r="Q5" s="2"/>
      <c r="R5" s="2"/>
    </row>
    <row r="6" spans="1:18" ht="16.5" customHeight="1" x14ac:dyDescent="0.15">
      <c r="A6" s="4"/>
      <c r="B6" s="16" t="str">
        <f>SCENARIO.B</f>
        <v>SCENARIO B</v>
      </c>
      <c r="C6" s="17"/>
      <c r="D6" s="2"/>
      <c r="E6" s="2"/>
      <c r="F6" s="450" t="s">
        <v>116</v>
      </c>
      <c r="G6" s="450"/>
      <c r="H6" s="4"/>
      <c r="I6" s="18">
        <f>INDEX(SourceData ROE,0,Year+12)</f>
        <v>0.2269925830140786</v>
      </c>
      <c r="J6" s="2"/>
      <c r="K6" s="2"/>
      <c r="L6" s="2"/>
      <c r="M6" s="3"/>
      <c r="N6" s="3"/>
      <c r="O6" s="64">
        <f>CurrentYear+3</f>
        <v>2018</v>
      </c>
      <c r="P6" s="2"/>
      <c r="Q6" s="2"/>
      <c r="R6" s="2"/>
    </row>
    <row r="7" spans="1:18" ht="15.75" customHeight="1" x14ac:dyDescent="0.15">
      <c r="A7" s="2"/>
      <c r="B7" s="2"/>
      <c r="C7" s="2"/>
      <c r="D7" s="2"/>
      <c r="E7" s="2"/>
      <c r="F7" s="444">
        <f>INDEX(SourceData ROA,0,Year)</f>
        <v>-72.374420672088377</v>
      </c>
      <c r="G7" s="444"/>
      <c r="H7" s="2"/>
      <c r="I7" s="2"/>
      <c r="J7" s="2"/>
      <c r="K7" s="2"/>
      <c r="L7" s="2"/>
      <c r="M7" s="3"/>
      <c r="N7" s="3"/>
      <c r="O7" s="64">
        <f>CurrentYear+4</f>
        <v>2019</v>
      </c>
      <c r="P7" s="2"/>
      <c r="Q7" s="2"/>
      <c r="R7" s="2"/>
    </row>
    <row r="8" spans="1:18" x14ac:dyDescent="0.15">
      <c r="A8" s="2"/>
      <c r="B8" s="2"/>
      <c r="C8" s="2"/>
      <c r="D8" s="19" t="s">
        <v>117</v>
      </c>
      <c r="E8" s="20"/>
      <c r="F8" s="444">
        <f>INDEX(SourceData ROA,0,Year+6)</f>
        <v>-0.92886122006494343</v>
      </c>
      <c r="G8" s="444"/>
      <c r="H8" s="4"/>
      <c r="I8" s="21" t="s">
        <v>118</v>
      </c>
      <c r="J8" s="2"/>
      <c r="K8" s="2"/>
      <c r="L8" s="20"/>
      <c r="M8" s="22" t="s">
        <v>119</v>
      </c>
      <c r="N8" s="12"/>
      <c r="O8" s="64">
        <f>CurrentYear+5</f>
        <v>2020</v>
      </c>
      <c r="P8" s="2"/>
      <c r="Q8" s="2"/>
      <c r="R8" s="2"/>
    </row>
    <row r="9" spans="1:18" x14ac:dyDescent="0.15">
      <c r="A9" s="2"/>
      <c r="B9" s="2"/>
      <c r="C9" s="2"/>
      <c r="D9" s="23">
        <f>INDEX(SourceData NPM,0,Year)</f>
        <v>-60.695282488546134</v>
      </c>
      <c r="E9" s="24"/>
      <c r="F9" s="444">
        <f>INDEX(SourceData ROA,0,Year+12)</f>
        <v>-0.92886122006494343</v>
      </c>
      <c r="G9" s="444"/>
      <c r="H9" s="4"/>
      <c r="I9" s="25">
        <f>INDEX(SourceData TAT,0,Year)</f>
        <v>1.192422503112103</v>
      </c>
      <c r="J9" s="2"/>
      <c r="K9" s="2"/>
      <c r="L9" s="26"/>
      <c r="M9" s="27">
        <f>INDEX(SourceData DebtRatio,0,Year)</f>
        <v>73.015107244515207</v>
      </c>
      <c r="N9" s="12"/>
      <c r="O9" s="2"/>
      <c r="P9" s="2"/>
      <c r="Q9" s="2"/>
      <c r="R9" s="2"/>
    </row>
    <row r="10" spans="1:18" x14ac:dyDescent="0.15">
      <c r="A10" s="2"/>
      <c r="B10" s="2"/>
      <c r="C10" s="2"/>
      <c r="D10" s="28">
        <f>INDEX(SourceData NPM,0,Year+6)</f>
        <v>-0.77896988495328534</v>
      </c>
      <c r="E10" s="29"/>
      <c r="F10" s="2"/>
      <c r="G10" s="2"/>
      <c r="H10" s="2"/>
      <c r="I10" s="30">
        <f>INDEX(SourceData TAT,0,Year+6)</f>
        <v>1.192422503112103</v>
      </c>
      <c r="J10" s="2"/>
      <c r="K10" s="2"/>
      <c r="L10" s="31"/>
      <c r="M10" s="32">
        <f>INDEX(SourceData DebtRatio,0,Year+6)</f>
        <v>0.95968089141860879</v>
      </c>
      <c r="N10" s="12"/>
      <c r="O10" s="2"/>
      <c r="P10" s="2"/>
      <c r="Q10" s="2"/>
      <c r="R10" s="2"/>
    </row>
    <row r="11" spans="1:18" x14ac:dyDescent="0.15">
      <c r="A11" s="2"/>
      <c r="B11" s="2"/>
      <c r="C11" s="2"/>
      <c r="D11" s="33">
        <f>INDEX(SourceData NPM,0,Year+12)</f>
        <v>-0.77896988495328534</v>
      </c>
      <c r="E11" s="29"/>
      <c r="F11" s="34"/>
      <c r="G11" s="34"/>
      <c r="H11" s="4"/>
      <c r="I11" s="35">
        <f>INDEX(SourceData TAT,0,Year+12)</f>
        <v>1.192422503112103</v>
      </c>
      <c r="J11" s="2"/>
      <c r="K11" s="2"/>
      <c r="L11" s="31"/>
      <c r="M11" s="36">
        <f>INDEX(SourceData DebtRatio,0,Year+12)</f>
        <v>0.95968089141860879</v>
      </c>
      <c r="N11" s="12"/>
      <c r="O11" s="2"/>
      <c r="P11" s="2"/>
      <c r="Q11" s="2"/>
      <c r="R11" s="2"/>
    </row>
    <row r="12" spans="1:18" ht="10.5" customHeight="1" x14ac:dyDescent="0.1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  <c r="N12" s="3"/>
      <c r="O12" s="2"/>
      <c r="P12" s="2"/>
      <c r="Q12" s="2"/>
      <c r="R12" s="2"/>
    </row>
    <row r="13" spans="1:18" ht="15" customHeight="1" x14ac:dyDescent="0.15">
      <c r="A13" s="2"/>
      <c r="B13" s="2"/>
      <c r="C13" s="37" t="s">
        <v>120</v>
      </c>
      <c r="D13" s="2"/>
      <c r="E13" s="2"/>
      <c r="F13" s="37" t="s">
        <v>40</v>
      </c>
      <c r="G13" s="20"/>
      <c r="H13" s="2"/>
      <c r="I13" s="2"/>
      <c r="J13" s="38" t="s">
        <v>53</v>
      </c>
      <c r="K13" s="4"/>
      <c r="L13" s="7"/>
      <c r="M13" s="37" t="s">
        <v>121</v>
      </c>
      <c r="N13" s="12"/>
      <c r="O13" s="2"/>
      <c r="P13" s="2"/>
      <c r="Q13" s="37" t="s">
        <v>122</v>
      </c>
      <c r="R13" s="4"/>
    </row>
    <row r="14" spans="1:18" x14ac:dyDescent="0.15">
      <c r="A14" s="2"/>
      <c r="B14" s="2"/>
      <c r="C14" s="41"/>
      <c r="D14" s="39"/>
      <c r="E14" s="39"/>
      <c r="F14" s="41"/>
      <c r="G14" s="40"/>
      <c r="H14" s="39"/>
      <c r="I14" s="39"/>
      <c r="J14" s="41"/>
      <c r="K14" s="39"/>
      <c r="L14" s="39"/>
      <c r="M14" s="41"/>
      <c r="N14" s="39"/>
      <c r="O14" s="39"/>
      <c r="P14" s="39"/>
      <c r="Q14" s="41"/>
      <c r="R14" s="4"/>
    </row>
    <row r="15" spans="1:18" ht="18" customHeight="1" x14ac:dyDescent="0.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4"/>
      <c r="P15" s="20"/>
      <c r="Q15" s="2"/>
      <c r="R15" s="2"/>
    </row>
    <row r="16" spans="1:18" ht="22" x14ac:dyDescent="0.15">
      <c r="A16" s="42" t="s">
        <v>41</v>
      </c>
      <c r="B16" s="43" t="s">
        <v>123</v>
      </c>
      <c r="C16" s="44" t="s">
        <v>124</v>
      </c>
      <c r="D16" s="45" t="s">
        <v>125</v>
      </c>
      <c r="E16" s="46" t="s">
        <v>43</v>
      </c>
      <c r="F16" s="42" t="s">
        <v>126</v>
      </c>
      <c r="G16" s="7"/>
      <c r="H16" s="4"/>
      <c r="I16" s="46" t="s">
        <v>127</v>
      </c>
      <c r="J16" s="4"/>
      <c r="K16" s="46" t="s">
        <v>128</v>
      </c>
      <c r="L16" s="4"/>
      <c r="M16" s="46" t="s">
        <v>129</v>
      </c>
      <c r="N16" s="12"/>
      <c r="O16" s="46" t="s">
        <v>130</v>
      </c>
      <c r="P16" s="4"/>
      <c r="Q16" s="46" t="s">
        <v>131</v>
      </c>
      <c r="R16" s="4"/>
    </row>
    <row r="17" spans="1:18" x14ac:dyDescent="0.15">
      <c r="A17" s="47">
        <f>INDEX(CommonSize COGS,0,Year)</f>
        <v>0.64097135407548977</v>
      </c>
      <c r="B17" s="48">
        <f>INDEX(CommonSize TotalOperatingExpense,0,Year)</f>
        <v>0.55378241948804341</v>
      </c>
      <c r="C17" s="49">
        <f>INDEX(CommonSize Interest,0,Year)</f>
        <v>60.019646794801396</v>
      </c>
      <c r="D17" s="49">
        <f>INDEX(-CommonSize NonOperatingExpenses,0,Year)</f>
        <v>-5.6534973813147593E-2</v>
      </c>
      <c r="E17" s="50">
        <f>INDEX(CommonSize Taxes,0,Year)</f>
        <v>0.42434694636806825</v>
      </c>
      <c r="F17" s="47">
        <f>INDEX(CommonSize Sales,0,Year)</f>
        <v>1</v>
      </c>
      <c r="G17" s="51"/>
      <c r="H17" s="4"/>
      <c r="I17" s="52">
        <f>INDEX(SourceData CurrentAssets,0,Year)/INDEX(SourceData TotalAssets,0,Year)</f>
        <v>0.52051172906258736</v>
      </c>
      <c r="J17" s="4"/>
      <c r="K17" s="52">
        <f>INDEX(SourceData NPPE,0,Year)/INDEX(SourceData TotalAssets,0,Year)</f>
        <v>0.12993883387858471</v>
      </c>
      <c r="L17" s="4"/>
      <c r="M17" s="52">
        <f>INDEX(SourceData CurrentLiabilities,0,Year)/INDEX(SourceData TotalAssets,0,Year)</f>
        <v>1.9128625727174156</v>
      </c>
      <c r="N17" s="12"/>
      <c r="O17" s="52">
        <f>INDEX(SourceData LongTermDebt,0,Year)/INDEX(SourceData TotalAssets,0,Year)</f>
        <v>71.034831096810137</v>
      </c>
      <c r="P17" s="4"/>
      <c r="Q17" s="52">
        <f>INDEX(SourceData CommonEquity,0,Year)/INDEX(SourceData TotalAssets,0,Year)</f>
        <v>-82.863661604787438</v>
      </c>
      <c r="R17" s="4"/>
    </row>
    <row r="18" spans="1:18" x14ac:dyDescent="0.15">
      <c r="A18" s="53">
        <f>INDEX(CommonSize COGS,0,Year+6)</f>
        <v>0.64097135407548977</v>
      </c>
      <c r="B18" s="54">
        <f>INDEX(CommonSize TotalOperatingExpense,0,Year+6)</f>
        <v>0.55378241948804341</v>
      </c>
      <c r="C18" s="55">
        <f>INDEX(CommonSize Interest,0,Year+6)</f>
        <v>0.52223502251725062</v>
      </c>
      <c r="D18" s="55">
        <f>INDEX(-CommonSize NonOperatingExpenses,0,Year+6)</f>
        <v>-5.6534973813147593E-2</v>
      </c>
      <c r="E18" s="56">
        <f>INDEX(CommonSize Taxes,0,Year+6)</f>
        <v>5.4461150593539303E-3</v>
      </c>
      <c r="F18" s="53">
        <f>INDEX(CommonSize Sales,0,Year+6)</f>
        <v>1</v>
      </c>
      <c r="G18" s="57"/>
      <c r="H18" s="4"/>
      <c r="I18" s="58">
        <f>INDEX(SourceData CurrentAssets,0,Year+6)/INDEX(SourceData TotalAssets,0,Year+6)</f>
        <v>0.52051172906258736</v>
      </c>
      <c r="J18" s="12"/>
      <c r="K18" s="58">
        <f>INDEX(SourceData NPPE,0,Year+6)/INDEX(SourceData TotalAssets,0,Year+6)</f>
        <v>0.12993883387858471</v>
      </c>
      <c r="L18" s="12"/>
      <c r="M18" s="58">
        <f>INDEX(SourceData CurrentLiabilities,0,Year+6)/INDEX(SourceData TotalAssets,0,Year+6)</f>
        <v>0.26954252366813264</v>
      </c>
      <c r="N18" s="12"/>
      <c r="O18" s="58">
        <f>INDEX(SourceData LongTermDebt,0,Year+6)/INDEX(SourceData TotalAssets,0,Year+6)</f>
        <v>0.62272479276282544</v>
      </c>
      <c r="P18" s="12"/>
      <c r="Q18" s="58">
        <f>INDEX(SourceData CommonEquity,0,Year+6)/INDEX(SourceData TotalAssets,0,Year+6)</f>
        <v>-4.0920333507431534</v>
      </c>
      <c r="R18" s="4"/>
    </row>
    <row r="19" spans="1:18" x14ac:dyDescent="0.15">
      <c r="A19" s="59">
        <f>INDEX(CommonSize COGS,0,Year+12)</f>
        <v>0.64097135407548977</v>
      </c>
      <c r="B19" s="60">
        <f>INDEX(CommonSize TotalOperatingExpense,0,Year+12)</f>
        <v>0.55378241948804341</v>
      </c>
      <c r="C19" s="61">
        <f>INDEX(CommonSize Interest,0,Year+12)</f>
        <v>0.52223502251725062</v>
      </c>
      <c r="D19" s="61">
        <f>INDEX(-CommonSize NonOperatingExpenses,0,Year+12)</f>
        <v>-5.6534973813147593E-2</v>
      </c>
      <c r="E19" s="62">
        <f>INDEX(CommonSize Taxes,0,Year+12)</f>
        <v>5.4461150593539303E-3</v>
      </c>
      <c r="F19" s="59">
        <f>INDEX(CommonSize Sales,0,Year+12)</f>
        <v>1</v>
      </c>
      <c r="G19" s="57"/>
      <c r="H19" s="4"/>
      <c r="I19" s="63">
        <f>INDEX(SourceData CurrentAssets,0,Year+12)/INDEX(SourceData TotalAssets,0,Year+12)</f>
        <v>0.52051172906258736</v>
      </c>
      <c r="J19" s="12"/>
      <c r="K19" s="63">
        <f>INDEX(SourceData NPPE,0,Year+12)/INDEX(SourceData TotalAssets,0,Year+12)</f>
        <v>0.12993883387858471</v>
      </c>
      <c r="L19" s="12"/>
      <c r="M19" s="63">
        <f>INDEX(SourceData CurrentLiabilities,0,Year+12)/INDEX(SourceData TotalAssets,0,Year+12)</f>
        <v>0.26954252366813264</v>
      </c>
      <c r="N19" s="12"/>
      <c r="O19" s="63">
        <f>INDEX(SourceData LongTermDebt,0,Year+12)/INDEX(SourceData TotalAssets,0,Year+12)</f>
        <v>0.62272479276282544</v>
      </c>
      <c r="P19" s="12"/>
      <c r="Q19" s="63">
        <f>INDEX(SourceData CommonEquity,0,Year+12)/INDEX(SourceData TotalAssets,0,Year+12)</f>
        <v>-4.0920333507431534</v>
      </c>
      <c r="R19" s="4"/>
    </row>
    <row r="20" spans="1:18" x14ac:dyDescent="0.1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2"/>
      <c r="P20" s="2"/>
      <c r="Q20" s="2"/>
      <c r="R20" s="2"/>
    </row>
    <row r="21" spans="1:18" x14ac:dyDescent="0.15">
      <c r="A21" s="4"/>
      <c r="B21" s="20"/>
      <c r="C21" s="4"/>
      <c r="D21" s="64"/>
      <c r="E21" s="64"/>
      <c r="F21" s="4"/>
      <c r="G21" s="65" t="s">
        <v>132</v>
      </c>
      <c r="H21" s="4"/>
      <c r="I21" s="66" t="s">
        <v>133</v>
      </c>
      <c r="J21" s="67" t="s">
        <v>134</v>
      </c>
      <c r="K21" s="68" t="s">
        <v>135</v>
      </c>
      <c r="L21" s="12"/>
      <c r="M21" s="69" t="s">
        <v>136</v>
      </c>
      <c r="N21" s="12"/>
      <c r="O21" s="69" t="s">
        <v>137</v>
      </c>
      <c r="P21" s="12"/>
      <c r="Q21" s="69" t="s">
        <v>138</v>
      </c>
      <c r="R21" s="4"/>
    </row>
    <row r="22" spans="1:18" x14ac:dyDescent="0.15">
      <c r="A22" s="4"/>
      <c r="B22" s="70"/>
      <c r="C22" s="71"/>
      <c r="D22" s="72"/>
      <c r="E22" s="72"/>
      <c r="F22" s="71"/>
      <c r="G22" s="73">
        <f>INDEX(SourceData CashCycle,0,Year)</f>
        <v>126.43193036224429</v>
      </c>
      <c r="H22" s="4"/>
      <c r="I22" s="74">
        <f>INDEX(SourceData InventoryTurnover,0,Year)</f>
        <v>141.1690331370111</v>
      </c>
      <c r="J22" s="75">
        <f>INDEX(SourceData DSO,0,Year)</f>
        <v>39.621243170102296</v>
      </c>
      <c r="K22" s="76">
        <f>INDEX(SourceData FAT,0,Year)</f>
        <v>2.4868648002189597</v>
      </c>
      <c r="L22" s="20"/>
      <c r="M22" s="77">
        <f>INDEX(SourceData CurrentRatio,0,Year)</f>
        <v>0.27211140856979998</v>
      </c>
      <c r="N22" s="20"/>
      <c r="O22" s="77">
        <f>INDEX(SourceData TIE,0,Year)</f>
        <v>-3.2448337163557221E-3</v>
      </c>
      <c r="P22" s="20"/>
      <c r="Q22" s="77" t="e">
        <f>INDEX(SourceData PERatio,0,Year)</f>
        <v>#DIV/0!</v>
      </c>
      <c r="R22" s="4"/>
    </row>
    <row r="23" spans="1:18" x14ac:dyDescent="0.15">
      <c r="A23" s="4"/>
      <c r="B23" s="78"/>
      <c r="C23" s="79"/>
      <c r="D23" s="80"/>
      <c r="E23" s="80"/>
      <c r="F23" s="79"/>
      <c r="G23" s="81">
        <f>INDEX(SourceData CashCycle,0,Year+6)</f>
        <v>126.43193036224429</v>
      </c>
      <c r="H23" s="4"/>
      <c r="I23" s="82">
        <f>INDEX(SourceData InventoryTurnover,0,Year+6)</f>
        <v>141.1690331370111</v>
      </c>
      <c r="J23" s="83">
        <f>INDEX(SourceData DSO,0,Year+6)</f>
        <v>39.621243170102296</v>
      </c>
      <c r="K23" s="84">
        <f>INDEX(SourceData FAT,0,Year+6)</f>
        <v>2.4868648002189597</v>
      </c>
      <c r="L23" s="20"/>
      <c r="M23" s="85">
        <f>INDEX(SourceData CurrentRatio,0,Year+6)</f>
        <v>1.9310931795810229</v>
      </c>
      <c r="N23" s="20"/>
      <c r="O23" s="85">
        <f>INDEX(SourceData TIE,0,Year+6)</f>
        <v>-0.37292361708104332</v>
      </c>
      <c r="P23" s="20"/>
      <c r="Q23" s="85" t="e">
        <f>INDEX(SourceData PERatio,0,Year+6)</f>
        <v>#DIV/0!</v>
      </c>
      <c r="R23" s="4"/>
    </row>
    <row r="24" spans="1:18" x14ac:dyDescent="0.15">
      <c r="A24" s="4"/>
      <c r="B24" s="78"/>
      <c r="C24" s="79"/>
      <c r="D24" s="80"/>
      <c r="E24" s="80"/>
      <c r="F24" s="79"/>
      <c r="G24" s="86">
        <f>INDEX(SourceData CashCycle,0,Year+12)</f>
        <v>126.43193036224429</v>
      </c>
      <c r="H24" s="4"/>
      <c r="I24" s="87">
        <f>INDEX(SourceData InventoryTurnover,0,Year+12)</f>
        <v>141.1690331370111</v>
      </c>
      <c r="J24" s="88">
        <f>INDEX(SourceData DSO,0,Year+12)</f>
        <v>39.621243170102296</v>
      </c>
      <c r="K24" s="89">
        <f>INDEX(SourceData FAT,0,Year+12)</f>
        <v>2.4868648002189597</v>
      </c>
      <c r="L24" s="20"/>
      <c r="M24" s="90">
        <f>INDEX(SourceData CurrentRatio,0,Year+12)</f>
        <v>1.9310931795810229</v>
      </c>
      <c r="N24" s="20"/>
      <c r="O24" s="90">
        <f>INDEX(SourceData TIE,0,Year+12)</f>
        <v>-0.37292361708104332</v>
      </c>
      <c r="P24" s="20"/>
      <c r="Q24" s="90" t="e">
        <f>INDEX(SourceData PERatio,0,Year+12)</f>
        <v>#DIV/0!</v>
      </c>
      <c r="R24" s="4"/>
    </row>
    <row r="25" spans="1:18" ht="8" customHeight="1" x14ac:dyDescent="0.1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2"/>
      <c r="N25" s="7"/>
      <c r="O25" s="2"/>
      <c r="P25" s="2"/>
      <c r="Q25" s="2"/>
      <c r="R25" s="2"/>
    </row>
    <row r="26" spans="1:18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9" t="s">
        <v>139</v>
      </c>
      <c r="N26" s="12"/>
      <c r="O26" s="69" t="s">
        <v>140</v>
      </c>
      <c r="P26" s="12"/>
      <c r="Q26" s="69" t="s">
        <v>141</v>
      </c>
      <c r="R26" s="4"/>
    </row>
    <row r="27" spans="1:18" x14ac:dyDescent="0.1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77">
        <f>INDEX(SourceData QuickRatio,0,Year)</f>
        <v>0.11757472421241935</v>
      </c>
      <c r="N27" s="20"/>
      <c r="O27" s="91">
        <f>INDEX(CommonSize EBIT,0,Year)</f>
        <v>-0.19475377356353321</v>
      </c>
      <c r="P27" s="20"/>
      <c r="Q27" s="77" t="e">
        <f>INDEX(SourceData MBRatio,0,Year)</f>
        <v>#DIV/0!</v>
      </c>
      <c r="R27" s="4"/>
    </row>
    <row r="28" spans="1:18" x14ac:dyDescent="0.1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85">
        <f>INDEX(SourceData QuickRatio,0,Year+6)</f>
        <v>0.83439260856820041</v>
      </c>
      <c r="N28" s="20"/>
      <c r="O28" s="92">
        <f>INDEX(CommonSize EBIT,0,Year+6)</f>
        <v>-0.19475377356353321</v>
      </c>
      <c r="P28" s="20"/>
      <c r="Q28" s="85" t="e">
        <f>INDEX(SourceData MBRatio,0,Year+6)</f>
        <v>#DIV/0!</v>
      </c>
      <c r="R28" s="4"/>
    </row>
    <row r="29" spans="1:18" x14ac:dyDescent="0.1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90">
        <f>INDEX(SourceData QuickRatio,0,Year+12)</f>
        <v>0.83439260856820041</v>
      </c>
      <c r="N29" s="20"/>
      <c r="O29" s="93">
        <f>INDEX(CommonSize EBIT,0,Year+12)</f>
        <v>-0.19475377356353321</v>
      </c>
      <c r="P29" s="20"/>
      <c r="Q29" s="90" t="e">
        <f>INDEX(SourceData MBRatio,0,Year+12)</f>
        <v>#DIV/0!</v>
      </c>
      <c r="R29" s="4"/>
    </row>
    <row r="30" spans="1:18" x14ac:dyDescent="0.1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2"/>
      <c r="P30" s="2"/>
      <c r="Q30" s="2"/>
      <c r="R30" s="2"/>
    </row>
    <row r="31" spans="1:18" x14ac:dyDescent="0.15">
      <c r="A31" s="2"/>
      <c r="B31" s="2"/>
      <c r="C31" s="2"/>
      <c r="D31" s="2"/>
      <c r="E31" s="2"/>
      <c r="F31" s="2"/>
      <c r="G31" s="2"/>
      <c r="H31" s="94"/>
      <c r="I31" s="2"/>
      <c r="J31" s="2"/>
      <c r="K31" s="2"/>
      <c r="L31" s="2"/>
      <c r="M31" s="3"/>
      <c r="N31" s="3"/>
      <c r="O31" s="2"/>
      <c r="P31" s="2"/>
      <c r="Q31" s="2"/>
      <c r="R31" s="2"/>
    </row>
    <row r="32" spans="1:18" x14ac:dyDescent="0.15">
      <c r="A32" s="2"/>
      <c r="B32" s="2"/>
      <c r="C32" s="2"/>
      <c r="D32" s="2"/>
      <c r="E32" s="2"/>
      <c r="F32" s="2"/>
      <c r="G32" s="2"/>
      <c r="H32" s="7"/>
      <c r="I32" s="2"/>
      <c r="J32" s="2"/>
      <c r="K32" s="2"/>
      <c r="L32" s="2"/>
      <c r="M32" s="3"/>
      <c r="N32" s="3"/>
      <c r="O32" s="2"/>
      <c r="P32" s="2"/>
      <c r="Q32" s="2"/>
      <c r="R32" s="2"/>
    </row>
    <row r="33" spans="1:18" x14ac:dyDescent="0.15">
      <c r="A33" s="2"/>
      <c r="B33" s="2"/>
      <c r="C33" s="2"/>
      <c r="D33" s="2"/>
      <c r="E33" s="2"/>
      <c r="F33" s="2"/>
      <c r="G33" s="2"/>
      <c r="H33" s="95"/>
      <c r="I33" s="2"/>
      <c r="J33" s="2"/>
      <c r="K33" s="2"/>
      <c r="L33" s="2"/>
      <c r="M33" s="3"/>
      <c r="N33" s="3"/>
      <c r="O33" s="2"/>
      <c r="P33" s="2"/>
      <c r="Q33" s="2"/>
      <c r="R33" s="2"/>
    </row>
    <row r="34" spans="1:18" x14ac:dyDescent="0.15">
      <c r="A34" s="2"/>
      <c r="B34" s="2"/>
      <c r="C34" s="2"/>
      <c r="D34" s="2"/>
      <c r="E34" s="2"/>
      <c r="F34" s="2"/>
      <c r="G34" s="2"/>
      <c r="H34" s="94"/>
      <c r="I34" s="2"/>
      <c r="J34" s="2"/>
      <c r="K34" s="2"/>
      <c r="L34" s="2"/>
      <c r="M34" s="3"/>
      <c r="N34" s="3"/>
      <c r="O34" s="2"/>
      <c r="P34" s="2"/>
      <c r="Q34" s="2"/>
      <c r="R34" s="2"/>
    </row>
  </sheetData>
  <sheetProtection password="EDC4" sheet="1" scenarios="1" formatCells="0" formatColumns="0" formatRows="0"/>
  <mergeCells count="7">
    <mergeCell ref="F7:G7"/>
    <mergeCell ref="F8:G8"/>
    <mergeCell ref="F9:G9"/>
    <mergeCell ref="A1:R1"/>
    <mergeCell ref="K3:M3"/>
    <mergeCell ref="K4:M4"/>
    <mergeCell ref="F6:G6"/>
  </mergeCells>
  <phoneticPr fontId="1" type="noConversion"/>
  <pageMargins left="0.75" right="0.75" top="1" bottom="1" header="0.5" footer="0.5"/>
  <pageSetup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 brief scenario description</vt:lpstr>
      <vt:lpstr>Three-scenario Comparison</vt:lpstr>
      <vt:lpstr>Dupont Tree</vt:lpstr>
    </vt:vector>
  </TitlesOfParts>
  <Company>RPI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Yu-Jung Avis</dc:creator>
  <cp:lastModifiedBy>Microsoft Office User</cp:lastModifiedBy>
  <dcterms:created xsi:type="dcterms:W3CDTF">2002-01-10T14:25:12Z</dcterms:created>
  <dcterms:modified xsi:type="dcterms:W3CDTF">2016-02-26T20:24:19Z</dcterms:modified>
</cp:coreProperties>
</file>