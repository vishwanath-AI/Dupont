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907" codeName="{51196F13-6AD0-C1B8-E2B4-A1F9AE17003E}"/>
  <workbookPr codeName="ThisWorkbook"/>
  <mc:AlternateContent xmlns:mc="http://schemas.openxmlformats.org/markup-compatibility/2006">
    <mc:Choice Requires="x15">
      <x15ac:absPath xmlns:x15ac="http://schemas.microsoft.com/office/spreadsheetml/2010/11/ac" url="/Users/vishwanathakuthota/Documents/doc/CSR MBA/MBA 640 managerial finance/"/>
    </mc:Choice>
  </mc:AlternateContent>
  <workbookProtection workbookAlgorithmName="SHA-512" workbookHashValue="RcLR9y1zCh8BD45AR9+pEb44zrPeXJNMgsmLxSkMxQN0nJe+78XORO0wPf4TgqXaLYXagy1EVuAlpAD5cbx+vg==" workbookSaltValue="/i+JNnLGgsnAJ8YLKNtZ/Q==" workbookSpinCount="100000" lockStructure="1"/>
  <bookViews>
    <workbookView xWindow="0" yWindow="460" windowWidth="14400" windowHeight="12860" activeTab="1"/>
  </bookViews>
  <sheets>
    <sheet name="Data From SEC" sheetId="1" r:id="rId1"/>
    <sheet name="Statements and Calculations" sheetId="2" r:id="rId2"/>
    <sheet name="DuPont Tree" sheetId="3" r:id="rId3"/>
    <sheet name="Charts" sheetId="4" state="hidden" r:id="rId4"/>
  </sheets>
  <definedNames>
    <definedName name="AccountsPayable">'Statements and Calculations'!$38:$38</definedName>
    <definedName name="AccountsPayablePeriod">'Statements and Calculations'!$67:$67</definedName>
    <definedName name="AccountsPayableTurnover">'Statements and Calculations'!$67:$67</definedName>
    <definedName name="AccountsReceivable">'Statements and Calculations'!$28:$28</definedName>
    <definedName name="AccountsReceivableTurnover">'Statements and Calculations'!$63:$63</definedName>
    <definedName name="Accruals">'Statements and Calculations'!$39:$39</definedName>
    <definedName name="BEP">'Statements and Calculations'!$76:$76</definedName>
    <definedName name="BVPS">'Statements and Calculations'!$83:$83</definedName>
    <definedName name="Cash">'Statements and Calculations'!$26:$26</definedName>
    <definedName name="CashCycle">'Statements and Calculations'!$68:$68</definedName>
    <definedName name="COGS">'Statements and Calculations'!$7:$7</definedName>
    <definedName name="CommonEquity">'Statements and Calculations'!$50:$50</definedName>
    <definedName name="CommonSize">'Statements and Calculations'!$N:$X</definedName>
    <definedName name="CommonSize2">'Statements and Calculations'!$AJ:$AT</definedName>
    <definedName name="CommonStock">'Statements and Calculations'!$46:$46</definedName>
    <definedName name="COMPANY.A">'Statements and Calculations'!$B$1</definedName>
    <definedName name="COMPANY.B">'Statements and Calculations'!$H$1</definedName>
    <definedName name="CurrentAssets">'Statements and Calculations'!$31:$31</definedName>
    <definedName name="CurrentLiabilities">'Statements and Calculations'!$41:$41</definedName>
    <definedName name="CurrentRatio">'Statements and Calculations'!$58:$58</definedName>
    <definedName name="CurrentYear">'Statements and Calculations'!$A$1</definedName>
    <definedName name="DebtRatio">'Statements and Calculations'!$70:$70</definedName>
    <definedName name="Depreciation">'Statements and Calculations'!$9:$9</definedName>
    <definedName name="Dividends_Common">'Statements and Calculations'!$19:$19</definedName>
    <definedName name="Dividends_Preferred">'Statements and Calculations'!$17:$17</definedName>
    <definedName name="DPS">'Statements and Calculations'!$22:$22</definedName>
    <definedName name="DSO">'Statements and Calculations'!$64:$64</definedName>
    <definedName name="EBIT">'Statements and Calculations'!$11:$11</definedName>
    <definedName name="EBT">'Statements and Calculations'!$14:$14</definedName>
    <definedName name="EPS">'Statements and Calculations'!$21:$21</definedName>
    <definedName name="EquityMultiplier">'Statements and Calculations'!$71:$71</definedName>
    <definedName name="FAT">'Statements and Calculations'!$65:$65</definedName>
    <definedName name="Intangibles.OtherAssets">'Statements and Calculations'!$33:$33</definedName>
    <definedName name="Interest">'Statements and Calculations'!$12:$12</definedName>
    <definedName name="Inventories">'Statements and Calculations'!$29:$29</definedName>
    <definedName name="InventoryPeriod">'Statements and Calculations'!$62:$62</definedName>
    <definedName name="InventoryTurnover">'Statements and Calculations'!$61:$61</definedName>
    <definedName name="Investment.in.Op.Capital">'Statements and Calculations'!$93:$93</definedName>
    <definedName name="LastYearFigure">'Statements and Calculations'!B1048576</definedName>
    <definedName name="LongTermDebt">'Statements and Calculations'!$42:$42</definedName>
    <definedName name="MBRatio">'Statements and Calculations'!$82:$82</definedName>
    <definedName name="MVPS">'Statements and Calculations'!$53:$53</definedName>
    <definedName name="MVPS.Data">'Data From SEC'!$16:$16</definedName>
    <definedName name="NetIncome">'Statements and Calculations'!$18:$18</definedName>
    <definedName name="NI.B4Prfd">'Statements and Calculations'!$16:$16</definedName>
    <definedName name="No.Of.Shares">'Statements and Calculations'!$54:$54</definedName>
    <definedName name="No.Of.Shares.Data">'Data From SEC'!$17:$17</definedName>
    <definedName name="NonOperatingExpense">'Statements and Calculations'!$13:$13</definedName>
    <definedName name="NOPAT">'Statements and Calculations'!$91:$91</definedName>
    <definedName name="NotesPayable">'Statements and Calculations'!$40:$40</definedName>
    <definedName name="NPM">'Statements and Calculations'!$75:$75</definedName>
    <definedName name="NPPE">'Statements and Calculations'!$32:$32</definedName>
    <definedName name="OperatingExpenses">'Statements and Calculations'!$8:$8</definedName>
    <definedName name="OtherCurrentAssets">'Statements and Calculations'!$30:$30</definedName>
    <definedName name="OtherLiab.related.to.Sales">'Statements and Calculations'!$43:$43</definedName>
    <definedName name="PERatio">'Statements and Calculations'!$80:$80</definedName>
    <definedName name="_xlnm.Print_Area" localSheetId="2">'DuPont Tree'!$A$1:$Q$31</definedName>
    <definedName name="QuickRatio">'Statements and Calculations'!$59:$59</definedName>
    <definedName name="RetainedEarnings">'Statements and Calculations'!$47:$47</definedName>
    <definedName name="ROA">'Statements and Calculations'!$77:$77</definedName>
    <definedName name="ROE">'Statements and Calculations'!$78:$78</definedName>
    <definedName name="Sales">'Statements and Calculations'!$6:$6</definedName>
    <definedName name="ShortTermInvestments">'Statements and Calculations'!$27:$27</definedName>
    <definedName name="SourceData">'Statements and Calculations'!$B:$L</definedName>
    <definedName name="TAT">'Statements and Calculations'!$66:$66</definedName>
    <definedName name="Taxes">'Statements and Calculations'!$15:$15</definedName>
    <definedName name="ThisYearFigure">'Statements and Calculations'!A1048576</definedName>
    <definedName name="TIE">'Statements and Calculations'!$72:$72</definedName>
    <definedName name="TotalAssets">'Statements and Calculations'!$35:$35</definedName>
    <definedName name="TotalDebt">'Statements and Calculations'!$44:$44</definedName>
    <definedName name="TotalOperatingExpense">'Statements and Calculations'!$10:$10</definedName>
    <definedName name="Year">'DuPont Tree'!$K$3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45" i="2" l="1"/>
  <c r="J45" i="2"/>
  <c r="K45" i="2"/>
  <c r="L45" i="2"/>
  <c r="I46" i="2"/>
  <c r="J46" i="2"/>
  <c r="K46" i="2"/>
  <c r="L46" i="2"/>
  <c r="H46" i="2"/>
  <c r="H45" i="2"/>
  <c r="I42" i="2"/>
  <c r="J42" i="2"/>
  <c r="K42" i="2"/>
  <c r="L42" i="2"/>
  <c r="I43" i="2"/>
  <c r="J43" i="2"/>
  <c r="K43" i="2"/>
  <c r="L43" i="2"/>
  <c r="H43" i="2"/>
  <c r="H42" i="2"/>
  <c r="I17" i="2"/>
  <c r="J17" i="2"/>
  <c r="K17" i="2"/>
  <c r="L17" i="2"/>
  <c r="H17" i="2"/>
  <c r="C45" i="2"/>
  <c r="D45" i="2"/>
  <c r="E45" i="2"/>
  <c r="F45" i="2"/>
  <c r="C46" i="2"/>
  <c r="D46" i="2"/>
  <c r="E46" i="2"/>
  <c r="F46" i="2"/>
  <c r="B46" i="2"/>
  <c r="B45" i="2"/>
  <c r="C17" i="2"/>
  <c r="D17" i="2"/>
  <c r="E17" i="2"/>
  <c r="F17" i="2"/>
  <c r="B17" i="2"/>
  <c r="H1" i="2"/>
  <c r="B1" i="2"/>
  <c r="I47" i="2"/>
  <c r="J47" i="2"/>
  <c r="K47" i="2"/>
  <c r="L47" i="2"/>
  <c r="I48" i="2"/>
  <c r="J48" i="2"/>
  <c r="K48" i="2"/>
  <c r="L48" i="2"/>
  <c r="I49" i="2"/>
  <c r="J49" i="2"/>
  <c r="K49" i="2"/>
  <c r="L49" i="2"/>
  <c r="H49" i="2"/>
  <c r="H48" i="2"/>
  <c r="H47" i="2"/>
  <c r="I40" i="2"/>
  <c r="J40" i="2"/>
  <c r="K40" i="2"/>
  <c r="L40" i="2"/>
  <c r="H40" i="2"/>
  <c r="I38" i="2"/>
  <c r="J38" i="2"/>
  <c r="K38" i="2"/>
  <c r="L38" i="2"/>
  <c r="I39" i="2"/>
  <c r="J39" i="2"/>
  <c r="K39" i="2"/>
  <c r="L39" i="2"/>
  <c r="H39" i="2"/>
  <c r="H38" i="2"/>
  <c r="I32" i="2"/>
  <c r="J32" i="2"/>
  <c r="K32" i="2"/>
  <c r="L32" i="2"/>
  <c r="I33" i="2"/>
  <c r="J33" i="2"/>
  <c r="K33" i="2"/>
  <c r="L33" i="2"/>
  <c r="I34" i="2"/>
  <c r="J34" i="2"/>
  <c r="K34" i="2"/>
  <c r="L34" i="2"/>
  <c r="H34" i="2"/>
  <c r="H33" i="2"/>
  <c r="H32" i="2"/>
  <c r="I26" i="2"/>
  <c r="J26" i="2"/>
  <c r="K26" i="2"/>
  <c r="L26" i="2"/>
  <c r="I27" i="2"/>
  <c r="J27" i="2"/>
  <c r="K27" i="2"/>
  <c r="L27" i="2"/>
  <c r="I28" i="2"/>
  <c r="J28" i="2"/>
  <c r="K28" i="2"/>
  <c r="L28" i="2"/>
  <c r="I29" i="2"/>
  <c r="J29" i="2"/>
  <c r="K29" i="2"/>
  <c r="L29" i="2"/>
  <c r="I30" i="2"/>
  <c r="J30" i="2"/>
  <c r="K30" i="2"/>
  <c r="L30" i="2"/>
  <c r="H30" i="2"/>
  <c r="H29" i="2"/>
  <c r="H28" i="2"/>
  <c r="H27" i="2"/>
  <c r="H26" i="2"/>
  <c r="C47" i="2"/>
  <c r="D47" i="2"/>
  <c r="E47" i="2"/>
  <c r="F47" i="2"/>
  <c r="C48" i="2"/>
  <c r="D48" i="2"/>
  <c r="E48" i="2"/>
  <c r="F48" i="2"/>
  <c r="C49" i="2"/>
  <c r="D49" i="2"/>
  <c r="E49" i="2"/>
  <c r="F49" i="2"/>
  <c r="B49" i="2"/>
  <c r="B48" i="2"/>
  <c r="B47" i="2"/>
  <c r="C42" i="2"/>
  <c r="D42" i="2"/>
  <c r="E42" i="2"/>
  <c r="F42" i="2"/>
  <c r="C43" i="2"/>
  <c r="D43" i="2"/>
  <c r="E43" i="2"/>
  <c r="F43" i="2"/>
  <c r="B43" i="2"/>
  <c r="B42" i="2"/>
  <c r="C38" i="2"/>
  <c r="D38" i="2"/>
  <c r="E38" i="2"/>
  <c r="F38" i="2"/>
  <c r="C39" i="2"/>
  <c r="D39" i="2"/>
  <c r="E39" i="2"/>
  <c r="F39" i="2"/>
  <c r="C40" i="2"/>
  <c r="D40" i="2"/>
  <c r="E40" i="2"/>
  <c r="F40" i="2"/>
  <c r="B40" i="2"/>
  <c r="B39" i="2"/>
  <c r="B38" i="2"/>
  <c r="C32" i="2"/>
  <c r="D32" i="2"/>
  <c r="E32" i="2"/>
  <c r="F32" i="2"/>
  <c r="C33" i="2"/>
  <c r="D33" i="2"/>
  <c r="E33" i="2"/>
  <c r="F33" i="2"/>
  <c r="C34" i="2"/>
  <c r="D34" i="2"/>
  <c r="E34" i="2"/>
  <c r="F34" i="2"/>
  <c r="B34" i="2"/>
  <c r="B33" i="2"/>
  <c r="B32" i="2"/>
  <c r="C26" i="2"/>
  <c r="D26" i="2"/>
  <c r="E26" i="2"/>
  <c r="F26" i="2"/>
  <c r="C28" i="2"/>
  <c r="D28" i="2"/>
  <c r="E28" i="2"/>
  <c r="F28" i="2"/>
  <c r="C29" i="2"/>
  <c r="D29" i="2"/>
  <c r="E29" i="2"/>
  <c r="F29" i="2"/>
  <c r="C30" i="2"/>
  <c r="D30" i="2"/>
  <c r="E30" i="2"/>
  <c r="F30" i="2"/>
  <c r="B30" i="2"/>
  <c r="B29" i="2"/>
  <c r="B28" i="2"/>
  <c r="B26" i="2"/>
  <c r="I9" i="2"/>
  <c r="J9" i="2"/>
  <c r="K9" i="2"/>
  <c r="L9" i="2"/>
  <c r="H9" i="2"/>
  <c r="I15" i="2"/>
  <c r="J15" i="2"/>
  <c r="K15" i="2"/>
  <c r="L15" i="2"/>
  <c r="H15" i="2"/>
  <c r="I12" i="2"/>
  <c r="J12" i="2"/>
  <c r="K12" i="2"/>
  <c r="L12" i="2"/>
  <c r="H12" i="2"/>
  <c r="I8" i="2"/>
  <c r="J8" i="2"/>
  <c r="K8" i="2"/>
  <c r="L8" i="2"/>
  <c r="I7" i="2"/>
  <c r="J7" i="2"/>
  <c r="K7" i="2"/>
  <c r="L7" i="2"/>
  <c r="I6" i="2"/>
  <c r="J6" i="2"/>
  <c r="K6" i="2"/>
  <c r="L6" i="2"/>
  <c r="H7" i="2"/>
  <c r="H8" i="2"/>
  <c r="H6" i="2"/>
  <c r="C15" i="2"/>
  <c r="D15" i="2"/>
  <c r="E15" i="2"/>
  <c r="F15" i="2"/>
  <c r="B15" i="2"/>
  <c r="C12" i="2"/>
  <c r="D12" i="2"/>
  <c r="E12" i="2"/>
  <c r="F12" i="2"/>
  <c r="C13" i="2"/>
  <c r="D13" i="2"/>
  <c r="E13" i="2"/>
  <c r="F13" i="2"/>
  <c r="B13" i="2"/>
  <c r="B12" i="2"/>
  <c r="C6" i="2"/>
  <c r="D6" i="2"/>
  <c r="E6" i="2"/>
  <c r="F6" i="2"/>
  <c r="C7" i="2"/>
  <c r="D7" i="2"/>
  <c r="E7" i="2"/>
  <c r="F7" i="2"/>
  <c r="C8" i="2"/>
  <c r="D8" i="2"/>
  <c r="E8" i="2"/>
  <c r="F8" i="2"/>
  <c r="C9" i="2"/>
  <c r="D9" i="2"/>
  <c r="E9" i="2"/>
  <c r="F9" i="2"/>
  <c r="B9" i="2"/>
  <c r="B8" i="2"/>
  <c r="B7" i="2"/>
  <c r="B6" i="2"/>
  <c r="X94" i="2"/>
  <c r="X91" i="2"/>
  <c r="R91" i="2"/>
  <c r="R94" i="2"/>
  <c r="L92" i="2"/>
  <c r="K92" i="2"/>
  <c r="J92" i="2"/>
  <c r="I92" i="2"/>
  <c r="H92" i="2"/>
  <c r="F92" i="2"/>
  <c r="C92" i="2"/>
  <c r="D92" i="2"/>
  <c r="E92" i="2"/>
  <c r="B92" i="2"/>
  <c r="B93" i="2"/>
  <c r="H93" i="2"/>
  <c r="C93" i="2"/>
  <c r="K93" i="2"/>
  <c r="D93" i="2"/>
  <c r="J93" i="2"/>
  <c r="I93" i="2"/>
  <c r="E93" i="2"/>
  <c r="AI89" i="2"/>
  <c r="AH89" i="2"/>
  <c r="AG89" i="2"/>
  <c r="AF89" i="2"/>
  <c r="AE89" i="2"/>
  <c r="AC89" i="2"/>
  <c r="AB89" i="2"/>
  <c r="AA89" i="2"/>
  <c r="Z89" i="2"/>
  <c r="Y89" i="2"/>
  <c r="X89" i="2"/>
  <c r="W89" i="2"/>
  <c r="V89" i="2"/>
  <c r="U89" i="2"/>
  <c r="T89" i="2"/>
  <c r="R89" i="2"/>
  <c r="Q89" i="2"/>
  <c r="P89" i="2"/>
  <c r="O89" i="2"/>
  <c r="N89" i="2"/>
  <c r="L88" i="2"/>
  <c r="K88" i="2"/>
  <c r="W88" i="2"/>
  <c r="J88" i="2"/>
  <c r="I88" i="2"/>
  <c r="H88" i="2"/>
  <c r="F88" i="2"/>
  <c r="AC88" i="2"/>
  <c r="E88" i="2"/>
  <c r="D88" i="2"/>
  <c r="C88" i="2"/>
  <c r="B88" i="2"/>
  <c r="N88" i="2"/>
  <c r="L87" i="2"/>
  <c r="K87" i="2"/>
  <c r="J87" i="2"/>
  <c r="I87" i="2"/>
  <c r="U87" i="2"/>
  <c r="H87" i="2"/>
  <c r="C87" i="2"/>
  <c r="D87" i="2"/>
  <c r="E87" i="2"/>
  <c r="Q87" i="2"/>
  <c r="F87" i="2"/>
  <c r="AC87" i="2"/>
  <c r="B87" i="2"/>
  <c r="K4" i="3"/>
  <c r="K3" i="3"/>
  <c r="L54" i="2"/>
  <c r="K54" i="2"/>
  <c r="J54" i="2"/>
  <c r="I54" i="2"/>
  <c r="H54" i="2"/>
  <c r="L53" i="2"/>
  <c r="K53" i="2"/>
  <c r="J53" i="2"/>
  <c r="I53" i="2"/>
  <c r="H53" i="2"/>
  <c r="F54" i="2"/>
  <c r="E54" i="2"/>
  <c r="D54" i="2"/>
  <c r="C54" i="2"/>
  <c r="F53" i="2"/>
  <c r="E53" i="2"/>
  <c r="D53" i="2"/>
  <c r="C53" i="2"/>
  <c r="B54" i="2"/>
  <c r="B53" i="2"/>
  <c r="L19" i="2"/>
  <c r="K19" i="2"/>
  <c r="J19" i="2"/>
  <c r="J22" i="2"/>
  <c r="I19" i="2"/>
  <c r="H19" i="2"/>
  <c r="T19" i="2"/>
  <c r="F19" i="2"/>
  <c r="E19" i="2"/>
  <c r="Q19" i="2"/>
  <c r="D19" i="2"/>
  <c r="C19" i="2"/>
  <c r="O19" i="2"/>
  <c r="B19" i="2"/>
  <c r="N19" i="2"/>
  <c r="L3" i="2"/>
  <c r="K3" i="2"/>
  <c r="AH7" i="2"/>
  <c r="J3" i="2"/>
  <c r="AG8" i="2"/>
  <c r="I3" i="2"/>
  <c r="H3" i="2"/>
  <c r="AE6" i="2"/>
  <c r="F3" i="2"/>
  <c r="E3" i="2"/>
  <c r="AB9" i="2"/>
  <c r="D3" i="2"/>
  <c r="C3" i="2"/>
  <c r="B3" i="2"/>
  <c r="Y8" i="2"/>
  <c r="AT4" i="2"/>
  <c r="AS4" i="2"/>
  <c r="AR4" i="2"/>
  <c r="AQ4" i="2"/>
  <c r="AP4" i="2"/>
  <c r="AN4" i="2"/>
  <c r="AM4" i="2"/>
  <c r="AL4" i="2"/>
  <c r="AK4" i="2"/>
  <c r="AJ4" i="2"/>
  <c r="AI4" i="2"/>
  <c r="AH4" i="2"/>
  <c r="AG4" i="2"/>
  <c r="AF4" i="2"/>
  <c r="AE4" i="2"/>
  <c r="AC4" i="2"/>
  <c r="AB4" i="2"/>
  <c r="AA4" i="2"/>
  <c r="Z4" i="2"/>
  <c r="Y4" i="2"/>
  <c r="X4" i="2"/>
  <c r="W4" i="2"/>
  <c r="V4" i="2"/>
  <c r="U4" i="2"/>
  <c r="T4" i="2"/>
  <c r="R4" i="2"/>
  <c r="Q4" i="2"/>
  <c r="P4" i="2"/>
  <c r="O4" i="2"/>
  <c r="N4" i="2"/>
  <c r="L4" i="2"/>
  <c r="K4" i="2"/>
  <c r="J4" i="2"/>
  <c r="I4" i="2"/>
  <c r="H4" i="2"/>
  <c r="F4" i="2"/>
  <c r="E4" i="2"/>
  <c r="D4" i="2"/>
  <c r="C4" i="2"/>
  <c r="B4" i="2"/>
  <c r="AC49" i="2"/>
  <c r="AA49" i="2"/>
  <c r="AC48" i="2"/>
  <c r="AB48" i="2"/>
  <c r="AC47" i="2"/>
  <c r="AB47" i="2"/>
  <c r="AC46" i="2"/>
  <c r="AA46" i="2"/>
  <c r="AC45" i="2"/>
  <c r="AB45" i="2"/>
  <c r="AA45" i="2"/>
  <c r="AC43" i="2"/>
  <c r="AB43" i="2"/>
  <c r="AC42" i="2"/>
  <c r="AB42" i="2"/>
  <c r="AC40" i="2"/>
  <c r="AB40" i="2"/>
  <c r="AA40" i="2"/>
  <c r="AC39" i="2"/>
  <c r="AA39" i="2"/>
  <c r="AC38" i="2"/>
  <c r="AB38" i="2"/>
  <c r="AC34" i="2"/>
  <c r="AB34" i="2"/>
  <c r="AC33" i="2"/>
  <c r="AA33" i="2"/>
  <c r="AC32" i="2"/>
  <c r="AA32" i="2"/>
  <c r="AC30" i="2"/>
  <c r="AB30" i="2"/>
  <c r="AC29" i="2"/>
  <c r="AB29" i="2"/>
  <c r="AC28" i="2"/>
  <c r="AA28" i="2"/>
  <c r="AC27" i="2"/>
  <c r="AB27" i="2"/>
  <c r="AA27" i="2"/>
  <c r="Z27" i="2"/>
  <c r="Y27" i="2"/>
  <c r="AC26" i="2"/>
  <c r="AB26" i="2"/>
  <c r="AC17" i="2"/>
  <c r="AB17" i="2"/>
  <c r="AA17" i="2"/>
  <c r="Z17" i="2"/>
  <c r="AC15" i="2"/>
  <c r="AC13" i="2"/>
  <c r="AA13" i="2"/>
  <c r="Z13" i="2"/>
  <c r="Y13" i="2"/>
  <c r="AC12" i="2"/>
  <c r="AC9" i="2"/>
  <c r="AC8" i="2"/>
  <c r="AB8" i="2"/>
  <c r="AC7" i="2"/>
  <c r="AC6" i="2"/>
  <c r="AI49" i="2"/>
  <c r="AF49" i="2"/>
  <c r="AI48" i="2"/>
  <c r="AG48" i="2"/>
  <c r="AI47" i="2"/>
  <c r="AI46" i="2"/>
  <c r="AF46" i="2"/>
  <c r="AI45" i="2"/>
  <c r="AF45" i="2"/>
  <c r="AI43" i="2"/>
  <c r="AH43" i="2"/>
  <c r="AF43" i="2"/>
  <c r="AE43" i="2"/>
  <c r="AI42" i="2"/>
  <c r="AG42" i="2"/>
  <c r="AI40" i="2"/>
  <c r="AG40" i="2"/>
  <c r="AI39" i="2"/>
  <c r="AG39" i="2"/>
  <c r="AI38" i="2"/>
  <c r="AI34" i="2"/>
  <c r="AH34" i="2"/>
  <c r="AG34" i="2"/>
  <c r="AF34" i="2"/>
  <c r="AI33" i="2"/>
  <c r="AF33" i="2"/>
  <c r="AI32" i="2"/>
  <c r="AF32" i="2"/>
  <c r="AI30" i="2"/>
  <c r="AG30" i="2"/>
  <c r="AI29" i="2"/>
  <c r="AI28" i="2"/>
  <c r="AF28" i="2"/>
  <c r="AI27" i="2"/>
  <c r="AH27" i="2"/>
  <c r="AG27" i="2"/>
  <c r="AF27" i="2"/>
  <c r="AE27" i="2"/>
  <c r="AI26" i="2"/>
  <c r="AG26" i="2"/>
  <c r="AI17" i="2"/>
  <c r="AH17" i="2"/>
  <c r="AF17" i="2"/>
  <c r="AI15" i="2"/>
  <c r="AF15" i="2"/>
  <c r="AI13" i="2"/>
  <c r="AH13" i="2"/>
  <c r="AG13" i="2"/>
  <c r="AF13" i="2"/>
  <c r="AE13" i="2"/>
  <c r="AI12" i="2"/>
  <c r="AG12" i="2"/>
  <c r="AI9" i="2"/>
  <c r="AH9" i="2"/>
  <c r="AI8" i="2"/>
  <c r="AI7" i="2"/>
  <c r="AG7" i="2"/>
  <c r="AI6" i="2"/>
  <c r="AF6" i="2"/>
  <c r="AE1" i="2"/>
  <c r="Y1" i="2"/>
  <c r="T1" i="2"/>
  <c r="N1" i="2"/>
  <c r="K41" i="2"/>
  <c r="K44" i="2"/>
  <c r="K50" i="2"/>
  <c r="L41" i="2"/>
  <c r="X41" i="2"/>
  <c r="L50" i="2"/>
  <c r="J41" i="2"/>
  <c r="J50" i="2"/>
  <c r="V50" i="2"/>
  <c r="I41" i="2"/>
  <c r="I50" i="2"/>
  <c r="H41" i="2"/>
  <c r="H50" i="2"/>
  <c r="K31" i="2"/>
  <c r="L31" i="2"/>
  <c r="L35" i="2"/>
  <c r="J31" i="2"/>
  <c r="I31" i="2"/>
  <c r="I35" i="2"/>
  <c r="H31" i="2"/>
  <c r="K10" i="2"/>
  <c r="L10" i="2"/>
  <c r="L11" i="2"/>
  <c r="J10" i="2"/>
  <c r="J11" i="2"/>
  <c r="I10" i="2"/>
  <c r="I11" i="2"/>
  <c r="U11" i="2"/>
  <c r="H10" i="2"/>
  <c r="T10" i="2"/>
  <c r="B31" i="2"/>
  <c r="N31" i="2"/>
  <c r="F41" i="2"/>
  <c r="R41" i="2"/>
  <c r="F50" i="2"/>
  <c r="F31" i="2"/>
  <c r="R31" i="2"/>
  <c r="E41" i="2"/>
  <c r="E50" i="2"/>
  <c r="Q50" i="2"/>
  <c r="E31" i="2"/>
  <c r="Q31" i="2"/>
  <c r="D41" i="2"/>
  <c r="P41" i="2"/>
  <c r="D50" i="2"/>
  <c r="D31" i="2"/>
  <c r="D35" i="2"/>
  <c r="AL45" i="2"/>
  <c r="C41" i="2"/>
  <c r="C50" i="2"/>
  <c r="O50" i="2"/>
  <c r="C31" i="2"/>
  <c r="B41" i="2"/>
  <c r="B50" i="2"/>
  <c r="E10" i="2"/>
  <c r="E11" i="2"/>
  <c r="Q11" i="2"/>
  <c r="F10" i="2"/>
  <c r="D10" i="2"/>
  <c r="C10" i="2"/>
  <c r="B10" i="2"/>
  <c r="N10" i="2"/>
  <c r="X49" i="2"/>
  <c r="W49" i="2"/>
  <c r="V49" i="2"/>
  <c r="U49" i="2"/>
  <c r="T49" i="2"/>
  <c r="X48" i="2"/>
  <c r="W48" i="2"/>
  <c r="V48" i="2"/>
  <c r="U48" i="2"/>
  <c r="T48" i="2"/>
  <c r="X47" i="2"/>
  <c r="W47" i="2"/>
  <c r="V47" i="2"/>
  <c r="U47" i="2"/>
  <c r="T47" i="2"/>
  <c r="X46" i="2"/>
  <c r="W46" i="2"/>
  <c r="V46" i="2"/>
  <c r="U46" i="2"/>
  <c r="T46" i="2"/>
  <c r="X45" i="2"/>
  <c r="W45" i="2"/>
  <c r="V45" i="2"/>
  <c r="U45" i="2"/>
  <c r="T45" i="2"/>
  <c r="X42" i="2"/>
  <c r="W42" i="2"/>
  <c r="V42" i="2"/>
  <c r="U42" i="2"/>
  <c r="T42" i="2"/>
  <c r="X43" i="2"/>
  <c r="W43" i="2"/>
  <c r="V43" i="2"/>
  <c r="U43" i="2"/>
  <c r="T43" i="2"/>
  <c r="X40" i="2"/>
  <c r="W40" i="2"/>
  <c r="V40" i="2"/>
  <c r="U40" i="2"/>
  <c r="T40" i="2"/>
  <c r="X39" i="2"/>
  <c r="W39" i="2"/>
  <c r="V39" i="2"/>
  <c r="U39" i="2"/>
  <c r="T39" i="2"/>
  <c r="X38" i="2"/>
  <c r="W38" i="2"/>
  <c r="V38" i="2"/>
  <c r="U38" i="2"/>
  <c r="T38" i="2"/>
  <c r="R49" i="2"/>
  <c r="Q49" i="2"/>
  <c r="P49" i="2"/>
  <c r="O49" i="2"/>
  <c r="N49" i="2"/>
  <c r="R48" i="2"/>
  <c r="Q48" i="2"/>
  <c r="P48" i="2"/>
  <c r="O48" i="2"/>
  <c r="N48" i="2"/>
  <c r="R47" i="2"/>
  <c r="Q47" i="2"/>
  <c r="P47" i="2"/>
  <c r="O47" i="2"/>
  <c r="N47" i="2"/>
  <c r="R46" i="2"/>
  <c r="Q46" i="2"/>
  <c r="P46" i="2"/>
  <c r="O46" i="2"/>
  <c r="N46" i="2"/>
  <c r="R45" i="2"/>
  <c r="Q45" i="2"/>
  <c r="P45" i="2"/>
  <c r="O45" i="2"/>
  <c r="N45" i="2"/>
  <c r="R42" i="2"/>
  <c r="Q42" i="2"/>
  <c r="P42" i="2"/>
  <c r="O42" i="2"/>
  <c r="N42" i="2"/>
  <c r="R43" i="2"/>
  <c r="Q43" i="2"/>
  <c r="P43" i="2"/>
  <c r="O43" i="2"/>
  <c r="N43" i="2"/>
  <c r="R40" i="2"/>
  <c r="Q40" i="2"/>
  <c r="P40" i="2"/>
  <c r="O40" i="2"/>
  <c r="N40" i="2"/>
  <c r="R39" i="2"/>
  <c r="Q39" i="2"/>
  <c r="P39" i="2"/>
  <c r="O39" i="2"/>
  <c r="N39" i="2"/>
  <c r="R38" i="2"/>
  <c r="Q38" i="2"/>
  <c r="P38" i="2"/>
  <c r="O38" i="2"/>
  <c r="N38" i="2"/>
  <c r="X34" i="2"/>
  <c r="W34" i="2"/>
  <c r="V34" i="2"/>
  <c r="U34" i="2"/>
  <c r="T34" i="2"/>
  <c r="X33" i="2"/>
  <c r="W33" i="2"/>
  <c r="V33" i="2"/>
  <c r="U33" i="2"/>
  <c r="T33" i="2"/>
  <c r="X32" i="2"/>
  <c r="W32" i="2"/>
  <c r="V32" i="2"/>
  <c r="U32" i="2"/>
  <c r="T32" i="2"/>
  <c r="X30" i="2"/>
  <c r="W30" i="2"/>
  <c r="V30" i="2"/>
  <c r="U30" i="2"/>
  <c r="T30" i="2"/>
  <c r="X29" i="2"/>
  <c r="W29" i="2"/>
  <c r="V29" i="2"/>
  <c r="U29" i="2"/>
  <c r="T29" i="2"/>
  <c r="X28" i="2"/>
  <c r="W28" i="2"/>
  <c r="V28" i="2"/>
  <c r="U28" i="2"/>
  <c r="T28" i="2"/>
  <c r="X27" i="2"/>
  <c r="W27" i="2"/>
  <c r="V27" i="2"/>
  <c r="U27" i="2"/>
  <c r="T27" i="2"/>
  <c r="X26" i="2"/>
  <c r="W26" i="2"/>
  <c r="V26" i="2"/>
  <c r="U26" i="2"/>
  <c r="T26" i="2"/>
  <c r="R34" i="2"/>
  <c r="Q34" i="2"/>
  <c r="P34" i="2"/>
  <c r="O34" i="2"/>
  <c r="N34" i="2"/>
  <c r="R33" i="2"/>
  <c r="Q33" i="2"/>
  <c r="P33" i="2"/>
  <c r="O33" i="2"/>
  <c r="N33" i="2"/>
  <c r="R32" i="2"/>
  <c r="Q32" i="2"/>
  <c r="P32" i="2"/>
  <c r="O32" i="2"/>
  <c r="N32" i="2"/>
  <c r="R30" i="2"/>
  <c r="Q30" i="2"/>
  <c r="P30" i="2"/>
  <c r="O30" i="2"/>
  <c r="N30" i="2"/>
  <c r="R29" i="2"/>
  <c r="Q29" i="2"/>
  <c r="P29" i="2"/>
  <c r="O29" i="2"/>
  <c r="N29" i="2"/>
  <c r="R28" i="2"/>
  <c r="Q28" i="2"/>
  <c r="P28" i="2"/>
  <c r="O28" i="2"/>
  <c r="N28" i="2"/>
  <c r="R27" i="2"/>
  <c r="Q27" i="2"/>
  <c r="P27" i="2"/>
  <c r="O27" i="2"/>
  <c r="N27" i="2"/>
  <c r="R26" i="2"/>
  <c r="Q26" i="2"/>
  <c r="P26" i="2"/>
  <c r="O26" i="2"/>
  <c r="N26" i="2"/>
  <c r="X17" i="2"/>
  <c r="W17" i="2"/>
  <c r="V17" i="2"/>
  <c r="U17" i="2"/>
  <c r="T17" i="2"/>
  <c r="X15" i="2"/>
  <c r="W15" i="2"/>
  <c r="V15" i="2"/>
  <c r="U15" i="2"/>
  <c r="T15" i="2"/>
  <c r="X13" i="2"/>
  <c r="W13" i="2"/>
  <c r="V13" i="2"/>
  <c r="U13" i="2"/>
  <c r="T13" i="2"/>
  <c r="X12" i="2"/>
  <c r="W12" i="2"/>
  <c r="V12" i="2"/>
  <c r="U12" i="2"/>
  <c r="T12" i="2"/>
  <c r="C20" i="3"/>
  <c r="X9" i="2"/>
  <c r="W9" i="2"/>
  <c r="V9" i="2"/>
  <c r="U9" i="2"/>
  <c r="T9" i="2"/>
  <c r="X8" i="2"/>
  <c r="W8" i="2"/>
  <c r="V8" i="2"/>
  <c r="U8" i="2"/>
  <c r="T8" i="2"/>
  <c r="X7" i="2"/>
  <c r="W7" i="2"/>
  <c r="V7" i="2"/>
  <c r="U7" i="2"/>
  <c r="T7" i="2"/>
  <c r="X6" i="2"/>
  <c r="W6" i="2"/>
  <c r="V6" i="2"/>
  <c r="U6" i="2"/>
  <c r="T6" i="2"/>
  <c r="R17" i="2"/>
  <c r="Q17" i="2"/>
  <c r="P17" i="2"/>
  <c r="O17" i="2"/>
  <c r="N17" i="2"/>
  <c r="R15" i="2"/>
  <c r="Q15" i="2"/>
  <c r="P15" i="2"/>
  <c r="O15" i="2"/>
  <c r="N15" i="2"/>
  <c r="R13" i="2"/>
  <c r="Q13" i="2"/>
  <c r="P13" i="2"/>
  <c r="O13" i="2"/>
  <c r="N13" i="2"/>
  <c r="R12" i="2"/>
  <c r="Q12" i="2"/>
  <c r="P12" i="2"/>
  <c r="O12" i="2"/>
  <c r="N12" i="2"/>
  <c r="R9" i="2"/>
  <c r="Q9" i="2"/>
  <c r="P9" i="2"/>
  <c r="O9" i="2"/>
  <c r="N9" i="2"/>
  <c r="R8" i="2"/>
  <c r="Q8" i="2"/>
  <c r="P8" i="2"/>
  <c r="O8" i="2"/>
  <c r="N8" i="2"/>
  <c r="R7" i="2"/>
  <c r="Q7" i="2"/>
  <c r="P7" i="2"/>
  <c r="O7" i="2"/>
  <c r="N7" i="2"/>
  <c r="A19" i="3"/>
  <c r="R6" i="2"/>
  <c r="Q6" i="2"/>
  <c r="P6" i="2"/>
  <c r="O6" i="2"/>
  <c r="N6" i="2"/>
  <c r="O7" i="3"/>
  <c r="O6" i="3"/>
  <c r="O5" i="3"/>
  <c r="O4" i="3"/>
  <c r="O3" i="3"/>
  <c r="L67" i="2"/>
  <c r="K67" i="2"/>
  <c r="J67" i="2"/>
  <c r="I67" i="2"/>
  <c r="H67" i="2"/>
  <c r="F67" i="2"/>
  <c r="E67" i="2"/>
  <c r="D67" i="2"/>
  <c r="C67" i="2"/>
  <c r="B67" i="2"/>
  <c r="L64" i="2"/>
  <c r="K64" i="2"/>
  <c r="J64" i="2"/>
  <c r="I64" i="2"/>
  <c r="H64" i="2"/>
  <c r="F64" i="2"/>
  <c r="E64" i="2"/>
  <c r="D64" i="2"/>
  <c r="C64" i="2"/>
  <c r="B64" i="2"/>
  <c r="J24" i="3"/>
  <c r="L62" i="2"/>
  <c r="K62" i="2"/>
  <c r="J62" i="2"/>
  <c r="I62" i="2"/>
  <c r="H62" i="2"/>
  <c r="F62" i="2"/>
  <c r="E62" i="2"/>
  <c r="D62" i="2"/>
  <c r="C62" i="2"/>
  <c r="B62" i="2"/>
  <c r="H63" i="2"/>
  <c r="I63" i="2"/>
  <c r="H61" i="2"/>
  <c r="I61" i="2"/>
  <c r="B63" i="2"/>
  <c r="C63" i="2"/>
  <c r="B61" i="2"/>
  <c r="C61" i="2"/>
  <c r="B5" i="3"/>
  <c r="B4" i="3"/>
  <c r="A1" i="3"/>
  <c r="L61" i="2"/>
  <c r="L63" i="2"/>
  <c r="K61" i="2"/>
  <c r="K63" i="2"/>
  <c r="J61" i="2"/>
  <c r="J63" i="2"/>
  <c r="F61" i="2"/>
  <c r="F63" i="2"/>
  <c r="E61" i="2"/>
  <c r="E63" i="2"/>
  <c r="D61" i="2"/>
  <c r="D63" i="2"/>
  <c r="AP1" i="2"/>
  <c r="AJ1" i="2"/>
  <c r="E14" i="2"/>
  <c r="E16" i="2"/>
  <c r="F35" i="2"/>
  <c r="AN43" i="2"/>
  <c r="U19" i="2"/>
  <c r="W10" i="2"/>
  <c r="V31" i="2"/>
  <c r="X31" i="2"/>
  <c r="P10" i="2"/>
  <c r="V87" i="2"/>
  <c r="F58" i="2"/>
  <c r="AG41" i="2"/>
  <c r="AE15" i="2"/>
  <c r="AE17" i="2"/>
  <c r="AE28" i="2"/>
  <c r="AG29" i="2"/>
  <c r="AE33" i="2"/>
  <c r="AG38" i="2"/>
  <c r="AE46" i="2"/>
  <c r="AG47" i="2"/>
  <c r="AB6" i="2"/>
  <c r="AB15" i="2"/>
  <c r="AB28" i="2"/>
  <c r="AB32" i="2"/>
  <c r="AB33" i="2"/>
  <c r="AB39" i="2"/>
  <c r="AB46" i="2"/>
  <c r="AB49" i="2"/>
  <c r="AA48" i="2"/>
  <c r="AF48" i="2"/>
  <c r="U31" i="2"/>
  <c r="AH29" i="2"/>
  <c r="AE40" i="2"/>
  <c r="AH47" i="2"/>
  <c r="L22" i="2"/>
  <c r="E72" i="2"/>
  <c r="AG9" i="2"/>
  <c r="AG15" i="2"/>
  <c r="AG17" i="2"/>
  <c r="AG28" i="2"/>
  <c r="AG32" i="2"/>
  <c r="AG33" i="2"/>
  <c r="AF39" i="2"/>
  <c r="AF40" i="2"/>
  <c r="AH42" i="2"/>
  <c r="AG43" i="2"/>
  <c r="AG45" i="2"/>
  <c r="AG46" i="2"/>
  <c r="AG49" i="2"/>
  <c r="AB12" i="2"/>
  <c r="Y17" i="2"/>
  <c r="Z28" i="2"/>
  <c r="Y29" i="2"/>
  <c r="Z33" i="2"/>
  <c r="Y34" i="2"/>
  <c r="Z40" i="2"/>
  <c r="Y42" i="2"/>
  <c r="Z46" i="2"/>
  <c r="Y47" i="2"/>
  <c r="J83" i="2"/>
  <c r="AH26" i="2"/>
  <c r="AE29" i="2"/>
  <c r="AH30" i="2"/>
  <c r="AE42" i="2"/>
  <c r="Y30" i="2"/>
  <c r="Z34" i="2"/>
  <c r="Z47" i="2"/>
  <c r="AL38" i="2"/>
  <c r="AI31" i="2"/>
  <c r="B11" i="2"/>
  <c r="B14" i="2"/>
  <c r="N14" i="2"/>
  <c r="Y10" i="2"/>
  <c r="AE31" i="2"/>
  <c r="AF8" i="2"/>
  <c r="AF9" i="2"/>
  <c r="AE12" i="2"/>
  <c r="AE26" i="2"/>
  <c r="AF29" i="2"/>
  <c r="AE30" i="2"/>
  <c r="AH32" i="2"/>
  <c r="AE38" i="2"/>
  <c r="AH39" i="2"/>
  <c r="AF42" i="2"/>
  <c r="AH45" i="2"/>
  <c r="AF47" i="2"/>
  <c r="AE48" i="2"/>
  <c r="AH49" i="2"/>
  <c r="Y7" i="2"/>
  <c r="Z26" i="2"/>
  <c r="AA29" i="2"/>
  <c r="Z30" i="2"/>
  <c r="Y32" i="2"/>
  <c r="AA34" i="2"/>
  <c r="Z38" i="2"/>
  <c r="Y39" i="2"/>
  <c r="AA42" i="2"/>
  <c r="Z43" i="2"/>
  <c r="Y45" i="2"/>
  <c r="AA47" i="2"/>
  <c r="Z48" i="2"/>
  <c r="Y49" i="2"/>
  <c r="AE9" i="2"/>
  <c r="AH12" i="2"/>
  <c r="AE34" i="2"/>
  <c r="AH38" i="2"/>
  <c r="AE47" i="2"/>
  <c r="AH48" i="2"/>
  <c r="Z15" i="2"/>
  <c r="Y26" i="2"/>
  <c r="Z29" i="2"/>
  <c r="Y38" i="2"/>
  <c r="Z42" i="2"/>
  <c r="Y43" i="2"/>
  <c r="Y48" i="2"/>
  <c r="AB10" i="2"/>
  <c r="AN49" i="2"/>
  <c r="F66" i="2"/>
  <c r="Q10" i="2"/>
  <c r="AE7" i="2"/>
  <c r="AH8" i="2"/>
  <c r="AF12" i="2"/>
  <c r="AH15" i="2"/>
  <c r="AF26" i="2"/>
  <c r="AH28" i="2"/>
  <c r="AF30" i="2"/>
  <c r="AE32" i="2"/>
  <c r="AH33" i="2"/>
  <c r="AF38" i="2"/>
  <c r="AE39" i="2"/>
  <c r="AH40" i="2"/>
  <c r="AE45" i="2"/>
  <c r="AH46" i="2"/>
  <c r="AE49" i="2"/>
  <c r="AA26" i="2"/>
  <c r="Y28" i="2"/>
  <c r="AA30" i="2"/>
  <c r="Z32" i="2"/>
  <c r="Y33" i="2"/>
  <c r="AA38" i="2"/>
  <c r="Z39" i="2"/>
  <c r="Y40" i="2"/>
  <c r="AA43" i="2"/>
  <c r="Z45" i="2"/>
  <c r="Y46" i="2"/>
  <c r="Z49" i="2"/>
  <c r="D58" i="2"/>
  <c r="H11" i="2"/>
  <c r="T11" i="2"/>
  <c r="O30" i="3"/>
  <c r="AE50" i="2"/>
  <c r="AG6" i="2"/>
  <c r="AF7" i="2"/>
  <c r="AE8" i="2"/>
  <c r="Z6" i="2"/>
  <c r="AA7" i="2"/>
  <c r="Y12" i="2"/>
  <c r="AB13" i="2"/>
  <c r="AA15" i="2"/>
  <c r="E35" i="2"/>
  <c r="AM47" i="2"/>
  <c r="B68" i="2"/>
  <c r="G24" i="3"/>
  <c r="AH6" i="2"/>
  <c r="Y9" i="2"/>
  <c r="Z12" i="2"/>
  <c r="Z8" i="2"/>
  <c r="AA9" i="2"/>
  <c r="AA12" i="2"/>
  <c r="Y15" i="2"/>
  <c r="R88" i="2"/>
  <c r="AN39" i="2"/>
  <c r="AG31" i="2"/>
  <c r="AN27" i="2"/>
  <c r="AN45" i="2"/>
  <c r="K51" i="2"/>
  <c r="W51" i="2"/>
  <c r="AB7" i="2"/>
  <c r="AA8" i="2"/>
  <c r="Z9" i="2"/>
  <c r="AB88" i="2"/>
  <c r="AG88" i="2"/>
  <c r="V41" i="2"/>
  <c r="Y6" i="2"/>
  <c r="AA6" i="2"/>
  <c r="Z7" i="2"/>
  <c r="I24" i="3"/>
  <c r="I68" i="2"/>
  <c r="C68" i="2"/>
  <c r="AL26" i="2"/>
  <c r="K35" i="2"/>
  <c r="K71" i="2"/>
  <c r="AN38" i="2"/>
  <c r="AN40" i="2"/>
  <c r="AN42" i="2"/>
  <c r="T50" i="2"/>
  <c r="H83" i="2"/>
  <c r="H82" i="2"/>
  <c r="Q30" i="3"/>
  <c r="AL49" i="2"/>
  <c r="E83" i="2"/>
  <c r="F19" i="3"/>
  <c r="L83" i="2"/>
  <c r="L82" i="2"/>
  <c r="H22" i="2"/>
  <c r="AF19" i="2"/>
  <c r="AG19" i="2"/>
  <c r="AE19" i="2"/>
  <c r="V19" i="2"/>
  <c r="E82" i="2"/>
  <c r="I22" i="2"/>
  <c r="AI19" i="2"/>
  <c r="AH19" i="2"/>
  <c r="X19" i="2"/>
  <c r="B83" i="2"/>
  <c r="B82" i="2"/>
  <c r="Q29" i="3"/>
  <c r="F22" i="2"/>
  <c r="L65" i="2"/>
  <c r="AT28" i="2"/>
  <c r="AT34" i="2"/>
  <c r="AT30" i="2"/>
  <c r="AT36" i="2"/>
  <c r="AT33" i="2"/>
  <c r="AT49" i="2"/>
  <c r="AT43" i="2"/>
  <c r="AT46" i="2"/>
  <c r="AT42" i="2"/>
  <c r="AT48" i="2"/>
  <c r="L71" i="2"/>
  <c r="AT47" i="2"/>
  <c r="AT41" i="2"/>
  <c r="AT32" i="2"/>
  <c r="L66" i="2"/>
  <c r="AQ31" i="2"/>
  <c r="I65" i="2"/>
  <c r="AQ38" i="2"/>
  <c r="AQ30" i="2"/>
  <c r="AQ28" i="2"/>
  <c r="AQ45" i="2"/>
  <c r="AQ47" i="2"/>
  <c r="AQ40" i="2"/>
  <c r="AQ26" i="2"/>
  <c r="AQ49" i="2"/>
  <c r="U35" i="2"/>
  <c r="AQ43" i="2"/>
  <c r="AQ33" i="2"/>
  <c r="AH31" i="2"/>
  <c r="AE10" i="2"/>
  <c r="L58" i="2"/>
  <c r="AF11" i="2"/>
  <c r="C11" i="2"/>
  <c r="C14" i="2"/>
  <c r="J82" i="2"/>
  <c r="J68" i="2"/>
  <c r="C58" i="2"/>
  <c r="F68" i="2"/>
  <c r="K68" i="2"/>
  <c r="I83" i="2"/>
  <c r="I82" i="2"/>
  <c r="AA87" i="2"/>
  <c r="AG87" i="2"/>
  <c r="AE88" i="2"/>
  <c r="B16" i="2"/>
  <c r="AI11" i="2"/>
  <c r="L72" i="2"/>
  <c r="Q41" i="2"/>
  <c r="E44" i="2"/>
  <c r="AM39" i="2"/>
  <c r="B35" i="2"/>
  <c r="AJ43" i="2"/>
  <c r="L68" i="2"/>
  <c r="N50" i="2"/>
  <c r="C44" i="2"/>
  <c r="Z41" i="2"/>
  <c r="O41" i="2"/>
  <c r="AA31" i="2"/>
  <c r="E58" i="2"/>
  <c r="AB50" i="2"/>
  <c r="R50" i="2"/>
  <c r="AH41" i="2"/>
  <c r="T87" i="2"/>
  <c r="AE87" i="2"/>
  <c r="X87" i="2"/>
  <c r="AI87" i="2"/>
  <c r="Z88" i="2"/>
  <c r="O88" i="2"/>
  <c r="J14" i="2"/>
  <c r="V14" i="2"/>
  <c r="P87" i="2"/>
  <c r="W41" i="2"/>
  <c r="AL41" i="2"/>
  <c r="D66" i="2"/>
  <c r="AL47" i="2"/>
  <c r="K59" i="2"/>
  <c r="AN29" i="2"/>
  <c r="F65" i="2"/>
  <c r="AN30" i="2"/>
  <c r="AN41" i="2"/>
  <c r="F71" i="2"/>
  <c r="AN34" i="2"/>
  <c r="AN28" i="2"/>
  <c r="AN35" i="2"/>
  <c r="AN36" i="2"/>
  <c r="AN47" i="2"/>
  <c r="AN33" i="2"/>
  <c r="AN37" i="2"/>
  <c r="AN32" i="2"/>
  <c r="B58" i="2"/>
  <c r="M24" i="3"/>
  <c r="Q14" i="2"/>
  <c r="J59" i="2"/>
  <c r="E19" i="3"/>
  <c r="AA10" i="2"/>
  <c r="D11" i="2"/>
  <c r="AG10" i="2"/>
  <c r="V10" i="2"/>
  <c r="AQ48" i="2"/>
  <c r="AQ35" i="2"/>
  <c r="AQ39" i="2"/>
  <c r="AQ27" i="2"/>
  <c r="AQ37" i="2"/>
  <c r="AQ50" i="2"/>
  <c r="I66" i="2"/>
  <c r="AQ46" i="2"/>
  <c r="AQ29" i="2"/>
  <c r="AQ34" i="2"/>
  <c r="K58" i="2"/>
  <c r="W31" i="2"/>
  <c r="I58" i="2"/>
  <c r="I44" i="2"/>
  <c r="I70" i="2"/>
  <c r="U41" i="2"/>
  <c r="I59" i="2"/>
  <c r="X50" i="2"/>
  <c r="AI50" i="2"/>
  <c r="AF87" i="2"/>
  <c r="R87" i="2"/>
  <c r="X10" i="2"/>
  <c r="AI10" i="2"/>
  <c r="AI41" i="2"/>
  <c r="L59" i="2"/>
  <c r="B19" i="3"/>
  <c r="E20" i="3"/>
  <c r="I25" i="3"/>
  <c r="D20" i="3"/>
  <c r="C19" i="3"/>
  <c r="A20" i="3"/>
  <c r="D19" i="3"/>
  <c r="F20" i="3"/>
  <c r="AB87" i="2"/>
  <c r="T88" i="2"/>
  <c r="J58" i="2"/>
  <c r="AC50" i="2"/>
  <c r="U10" i="2"/>
  <c r="AM45" i="2"/>
  <c r="B20" i="3"/>
  <c r="H14" i="2"/>
  <c r="T14" i="2"/>
  <c r="AB31" i="2"/>
  <c r="L44" i="2"/>
  <c r="AT44" i="2"/>
  <c r="AF10" i="2"/>
  <c r="AH10" i="2"/>
  <c r="K11" i="2"/>
  <c r="AG11" i="2"/>
  <c r="J35" i="2"/>
  <c r="V35" i="2"/>
  <c r="AF31" i="2"/>
  <c r="J44" i="2"/>
  <c r="V44" i="2"/>
  <c r="B22" i="2"/>
  <c r="Y19" i="2"/>
  <c r="AC19" i="2"/>
  <c r="R19" i="2"/>
  <c r="N87" i="2"/>
  <c r="Y87" i="2"/>
  <c r="O87" i="2"/>
  <c r="Z87" i="2"/>
  <c r="AH87" i="2"/>
  <c r="W87" i="2"/>
  <c r="AM29" i="2"/>
  <c r="B91" i="2"/>
  <c r="AC10" i="2"/>
  <c r="F11" i="2"/>
  <c r="R11" i="2"/>
  <c r="R10" i="2"/>
  <c r="C35" i="2"/>
  <c r="AK27" i="2"/>
  <c r="O31" i="2"/>
  <c r="Z31" i="2"/>
  <c r="P50" i="2"/>
  <c r="D83" i="2"/>
  <c r="D82" i="2"/>
  <c r="AA50" i="2"/>
  <c r="O10" i="2"/>
  <c r="Z10" i="2"/>
  <c r="I72" i="2"/>
  <c r="D68" i="2"/>
  <c r="E91" i="2"/>
  <c r="F83" i="2"/>
  <c r="F82" i="2"/>
  <c r="AT45" i="2"/>
  <c r="AT39" i="2"/>
  <c r="AT26" i="2"/>
  <c r="AT35" i="2"/>
  <c r="AT29" i="2"/>
  <c r="C22" i="2"/>
  <c r="P35" i="2"/>
  <c r="AL30" i="2"/>
  <c r="AL29" i="2"/>
  <c r="D71" i="2"/>
  <c r="AL48" i="2"/>
  <c r="K83" i="2"/>
  <c r="K82" i="2"/>
  <c r="W50" i="2"/>
  <c r="AH50" i="2"/>
  <c r="H44" i="2"/>
  <c r="T41" i="2"/>
  <c r="AE41" i="2"/>
  <c r="AL39" i="2"/>
  <c r="AL36" i="2"/>
  <c r="AL43" i="2"/>
  <c r="H58" i="2"/>
  <c r="M25" i="3"/>
  <c r="Q16" i="2"/>
  <c r="E18" i="2"/>
  <c r="J25" i="3"/>
  <c r="H68" i="2"/>
  <c r="G25" i="3"/>
  <c r="D59" i="2"/>
  <c r="P31" i="2"/>
  <c r="AC41" i="2"/>
  <c r="F44" i="2"/>
  <c r="AB41" i="2"/>
  <c r="F59" i="2"/>
  <c r="I14" i="2"/>
  <c r="I91" i="2"/>
  <c r="I76" i="2"/>
  <c r="T31" i="2"/>
  <c r="H35" i="2"/>
  <c r="AP41" i="2"/>
  <c r="H59" i="2"/>
  <c r="M30" i="3"/>
  <c r="AL40" i="2"/>
  <c r="AL37" i="2"/>
  <c r="AL50" i="2"/>
  <c r="AL27" i="2"/>
  <c r="AL34" i="2"/>
  <c r="AL32" i="2"/>
  <c r="AL33" i="2"/>
  <c r="AL46" i="2"/>
  <c r="AL31" i="2"/>
  <c r="AL28" i="2"/>
  <c r="AL42" i="2"/>
  <c r="AL35" i="2"/>
  <c r="D65" i="2"/>
  <c r="V11" i="2"/>
  <c r="J72" i="2"/>
  <c r="C59" i="2"/>
  <c r="D22" i="2"/>
  <c r="AA19" i="2"/>
  <c r="Z19" i="2"/>
  <c r="P19" i="2"/>
  <c r="AI88" i="2"/>
  <c r="X88" i="2"/>
  <c r="L76" i="2"/>
  <c r="AT50" i="2"/>
  <c r="W44" i="2"/>
  <c r="AT38" i="2"/>
  <c r="AT27" i="2"/>
  <c r="X35" i="2"/>
  <c r="AT37" i="2"/>
  <c r="AT31" i="2"/>
  <c r="AT40" i="2"/>
  <c r="AI35" i="2"/>
  <c r="AM33" i="2"/>
  <c r="AN48" i="2"/>
  <c r="AN26" i="2"/>
  <c r="Y50" i="2"/>
  <c r="AN46" i="2"/>
  <c r="AJ46" i="2"/>
  <c r="Y41" i="2"/>
  <c r="N41" i="2"/>
  <c r="B59" i="2"/>
  <c r="M29" i="3"/>
  <c r="B44" i="2"/>
  <c r="E59" i="2"/>
  <c r="AG50" i="2"/>
  <c r="Y88" i="2"/>
  <c r="AH88" i="2"/>
  <c r="L14" i="2"/>
  <c r="X11" i="2"/>
  <c r="AC35" i="2"/>
  <c r="AN50" i="2"/>
  <c r="R35" i="2"/>
  <c r="E68" i="2"/>
  <c r="Y31" i="2"/>
  <c r="I71" i="2"/>
  <c r="AQ32" i="2"/>
  <c r="AQ36" i="2"/>
  <c r="AQ42" i="2"/>
  <c r="AF50" i="2"/>
  <c r="U50" i="2"/>
  <c r="AB19" i="2"/>
  <c r="E22" i="2"/>
  <c r="P88" i="2"/>
  <c r="AA88" i="2"/>
  <c r="U88" i="2"/>
  <c r="AF88" i="2"/>
  <c r="Q88" i="2"/>
  <c r="AM42" i="2"/>
  <c r="Z50" i="2"/>
  <c r="C83" i="2"/>
  <c r="C82" i="2"/>
  <c r="AA41" i="2"/>
  <c r="D44" i="2"/>
  <c r="AC31" i="2"/>
  <c r="AN31" i="2"/>
  <c r="AF41" i="2"/>
  <c r="AQ41" i="2"/>
  <c r="K22" i="2"/>
  <c r="W19" i="2"/>
  <c r="V88" i="2"/>
  <c r="N11" i="2"/>
  <c r="O29" i="3"/>
  <c r="H72" i="2"/>
  <c r="O25" i="3"/>
  <c r="AK50" i="2"/>
  <c r="B76" i="2"/>
  <c r="AK47" i="2"/>
  <c r="B72" i="2"/>
  <c r="O24" i="3"/>
  <c r="AE11" i="2"/>
  <c r="AM40" i="2"/>
  <c r="AA35" i="2"/>
  <c r="AK40" i="2"/>
  <c r="E76" i="2"/>
  <c r="C71" i="2"/>
  <c r="W35" i="2"/>
  <c r="AM35" i="2"/>
  <c r="AM43" i="2"/>
  <c r="AK26" i="2"/>
  <c r="AM48" i="2"/>
  <c r="AM49" i="2"/>
  <c r="AM27" i="2"/>
  <c r="AM38" i="2"/>
  <c r="AK32" i="2"/>
  <c r="AM34" i="2"/>
  <c r="E65" i="2"/>
  <c r="K65" i="2"/>
  <c r="AS38" i="2"/>
  <c r="AR49" i="2"/>
  <c r="AR31" i="2"/>
  <c r="AS49" i="2"/>
  <c r="AS40" i="2"/>
  <c r="AR45" i="2"/>
  <c r="AJ35" i="2"/>
  <c r="AM50" i="2"/>
  <c r="AM32" i="2"/>
  <c r="AS44" i="2"/>
  <c r="Q35" i="2"/>
  <c r="AM36" i="2"/>
  <c r="AM30" i="2"/>
  <c r="AS51" i="2"/>
  <c r="AM37" i="2"/>
  <c r="AS47" i="2"/>
  <c r="AS37" i="2"/>
  <c r="AH35" i="2"/>
  <c r="AM28" i="2"/>
  <c r="AM26" i="2"/>
  <c r="AB35" i="2"/>
  <c r="AS30" i="2"/>
  <c r="AM46" i="2"/>
  <c r="E66" i="2"/>
  <c r="AS36" i="2"/>
  <c r="AS34" i="2"/>
  <c r="AM31" i="2"/>
  <c r="AM41" i="2"/>
  <c r="AS45" i="2"/>
  <c r="AS41" i="2"/>
  <c r="E71" i="2"/>
  <c r="Z11" i="2"/>
  <c r="F72" i="2"/>
  <c r="C76" i="2"/>
  <c r="O35" i="2"/>
  <c r="AG44" i="2"/>
  <c r="AS35" i="2"/>
  <c r="K66" i="2"/>
  <c r="AS31" i="2"/>
  <c r="AS46" i="2"/>
  <c r="AS28" i="2"/>
  <c r="K70" i="2"/>
  <c r="J51" i="2"/>
  <c r="AG51" i="2"/>
  <c r="AS50" i="2"/>
  <c r="Z35" i="2"/>
  <c r="AK36" i="2"/>
  <c r="AS33" i="2"/>
  <c r="AS32" i="2"/>
  <c r="AS42" i="2"/>
  <c r="AS39" i="2"/>
  <c r="AS43" i="2"/>
  <c r="AS27" i="2"/>
  <c r="AS26" i="2"/>
  <c r="O11" i="2"/>
  <c r="Y11" i="2"/>
  <c r="H16" i="2"/>
  <c r="T16" i="2"/>
  <c r="I51" i="2"/>
  <c r="AQ51" i="2"/>
  <c r="C65" i="2"/>
  <c r="AK49" i="2"/>
  <c r="AK29" i="2"/>
  <c r="H91" i="2"/>
  <c r="H94" i="2"/>
  <c r="T94" i="2"/>
  <c r="AS48" i="2"/>
  <c r="AS29" i="2"/>
  <c r="AK31" i="2"/>
  <c r="AR47" i="2"/>
  <c r="J65" i="2"/>
  <c r="AK43" i="2"/>
  <c r="C66" i="2"/>
  <c r="AK28" i="2"/>
  <c r="AK35" i="2"/>
  <c r="AK38" i="2"/>
  <c r="AK30" i="2"/>
  <c r="C72" i="2"/>
  <c r="AR38" i="2"/>
  <c r="J70" i="2"/>
  <c r="D76" i="2"/>
  <c r="AK45" i="2"/>
  <c r="AK34" i="2"/>
  <c r="AK42" i="2"/>
  <c r="AK39" i="2"/>
  <c r="Y35" i="2"/>
  <c r="AK46" i="2"/>
  <c r="U91" i="2"/>
  <c r="I94" i="2"/>
  <c r="U94" i="2"/>
  <c r="AH44" i="2"/>
  <c r="AG35" i="2"/>
  <c r="AR27" i="2"/>
  <c r="AR26" i="2"/>
  <c r="AF35" i="2"/>
  <c r="AR32" i="2"/>
  <c r="L51" i="2"/>
  <c r="X51" i="2"/>
  <c r="AR28" i="2"/>
  <c r="N91" i="2"/>
  <c r="B94" i="2"/>
  <c r="N94" i="2"/>
  <c r="J91" i="2"/>
  <c r="C16" i="2"/>
  <c r="O14" i="2"/>
  <c r="AR35" i="2"/>
  <c r="AR36" i="2"/>
  <c r="L70" i="2"/>
  <c r="J16" i="2"/>
  <c r="F76" i="2"/>
  <c r="AB11" i="2"/>
  <c r="AC11" i="2"/>
  <c r="F14" i="2"/>
  <c r="K72" i="2"/>
  <c r="W11" i="2"/>
  <c r="K14" i="2"/>
  <c r="K76" i="2"/>
  <c r="AH11" i="2"/>
  <c r="U44" i="2"/>
  <c r="AF44" i="2"/>
  <c r="AQ44" i="2"/>
  <c r="O44" i="2"/>
  <c r="C51" i="2"/>
  <c r="AJ28" i="2"/>
  <c r="AJ29" i="2"/>
  <c r="B71" i="2"/>
  <c r="O9" i="3"/>
  <c r="AJ27" i="2"/>
  <c r="AJ26" i="2"/>
  <c r="N35" i="2"/>
  <c r="AJ47" i="2"/>
  <c r="AJ45" i="2"/>
  <c r="B65" i="2"/>
  <c r="K24" i="3"/>
  <c r="AJ49" i="2"/>
  <c r="AJ30" i="2"/>
  <c r="AJ42" i="2"/>
  <c r="AJ36" i="2"/>
  <c r="AJ40" i="2"/>
  <c r="AJ34" i="2"/>
  <c r="B66" i="2"/>
  <c r="I9" i="3"/>
  <c r="AJ37" i="2"/>
  <c r="AJ48" i="2"/>
  <c r="AJ33" i="2"/>
  <c r="AJ41" i="2"/>
  <c r="AJ32" i="2"/>
  <c r="AJ38" i="2"/>
  <c r="AJ39" i="2"/>
  <c r="AJ31" i="2"/>
  <c r="I19" i="3"/>
  <c r="Y14" i="2"/>
  <c r="Q91" i="2"/>
  <c r="E94" i="2"/>
  <c r="Q94" i="2"/>
  <c r="J66" i="2"/>
  <c r="J71" i="2"/>
  <c r="AR43" i="2"/>
  <c r="Q44" i="2"/>
  <c r="AM44" i="2"/>
  <c r="E70" i="2"/>
  <c r="N16" i="2"/>
  <c r="B18" i="2"/>
  <c r="AR37" i="2"/>
  <c r="AR42" i="2"/>
  <c r="AR40" i="2"/>
  <c r="AR30" i="2"/>
  <c r="AR50" i="2"/>
  <c r="E51" i="2"/>
  <c r="Q51" i="2"/>
  <c r="J76" i="2"/>
  <c r="AR41" i="2"/>
  <c r="AR33" i="2"/>
  <c r="AR46" i="2"/>
  <c r="AR39" i="2"/>
  <c r="AR29" i="2"/>
  <c r="AR34" i="2"/>
  <c r="X44" i="2"/>
  <c r="AR48" i="2"/>
  <c r="AI44" i="2"/>
  <c r="AR44" i="2"/>
  <c r="C70" i="2"/>
  <c r="AK44" i="2"/>
  <c r="AK48" i="2"/>
  <c r="AK41" i="2"/>
  <c r="AK33" i="2"/>
  <c r="AK37" i="2"/>
  <c r="C91" i="2"/>
  <c r="D14" i="2"/>
  <c r="AA11" i="2"/>
  <c r="P11" i="2"/>
  <c r="D72" i="2"/>
  <c r="AJ50" i="2"/>
  <c r="Q19" i="3"/>
  <c r="D51" i="2"/>
  <c r="AA44" i="2"/>
  <c r="D70" i="2"/>
  <c r="P44" i="2"/>
  <c r="Z44" i="2"/>
  <c r="AL44" i="2"/>
  <c r="AP50" i="2"/>
  <c r="Q20" i="3"/>
  <c r="AP33" i="2"/>
  <c r="AP26" i="2"/>
  <c r="AE35" i="2"/>
  <c r="AP35" i="2"/>
  <c r="AP38" i="2"/>
  <c r="AP48" i="2"/>
  <c r="AP34" i="2"/>
  <c r="AP45" i="2"/>
  <c r="AP39" i="2"/>
  <c r="AP49" i="2"/>
  <c r="T35" i="2"/>
  <c r="AP46" i="2"/>
  <c r="AP30" i="2"/>
  <c r="H65" i="2"/>
  <c r="K25" i="3"/>
  <c r="AP37" i="2"/>
  <c r="H71" i="2"/>
  <c r="O10" i="3"/>
  <c r="AP28" i="2"/>
  <c r="AP42" i="2"/>
  <c r="AP29" i="2"/>
  <c r="AP27" i="2"/>
  <c r="AP32" i="2"/>
  <c r="H76" i="2"/>
  <c r="AP40" i="2"/>
  <c r="AP31" i="2"/>
  <c r="I20" i="3"/>
  <c r="AP43" i="2"/>
  <c r="AP47" i="2"/>
  <c r="AP36" i="2"/>
  <c r="H66" i="2"/>
  <c r="I10" i="3"/>
  <c r="AF14" i="2"/>
  <c r="U14" i="2"/>
  <c r="AE14" i="2"/>
  <c r="I16" i="2"/>
  <c r="E78" i="2"/>
  <c r="E75" i="2"/>
  <c r="E77" i="2"/>
  <c r="E21" i="2"/>
  <c r="E80" i="2"/>
  <c r="E20" i="2"/>
  <c r="E81" i="2"/>
  <c r="Q18" i="2"/>
  <c r="X14" i="2"/>
  <c r="L16" i="2"/>
  <c r="AI14" i="2"/>
  <c r="B70" i="2"/>
  <c r="M9" i="3"/>
  <c r="B51" i="2"/>
  <c r="Y44" i="2"/>
  <c r="AJ44" i="2"/>
  <c r="N44" i="2"/>
  <c r="M20" i="3"/>
  <c r="F70" i="2"/>
  <c r="AC44" i="2"/>
  <c r="F51" i="2"/>
  <c r="R44" i="2"/>
  <c r="AB44" i="2"/>
  <c r="AN44" i="2"/>
  <c r="AP44" i="2"/>
  <c r="T44" i="2"/>
  <c r="H70" i="2"/>
  <c r="M10" i="3"/>
  <c r="H51" i="2"/>
  <c r="AE44" i="2"/>
  <c r="V51" i="2"/>
  <c r="AR51" i="2"/>
  <c r="AM51" i="2"/>
  <c r="U51" i="2"/>
  <c r="AF51" i="2"/>
  <c r="H18" i="2"/>
  <c r="H81" i="2"/>
  <c r="AE16" i="2"/>
  <c r="AH51" i="2"/>
  <c r="T91" i="2"/>
  <c r="O20" i="3"/>
  <c r="AT51" i="2"/>
  <c r="AI51" i="2"/>
  <c r="K19" i="3"/>
  <c r="P14" i="2"/>
  <c r="AA14" i="2"/>
  <c r="D16" i="2"/>
  <c r="Z14" i="2"/>
  <c r="K16" i="2"/>
  <c r="AH16" i="2"/>
  <c r="W14" i="2"/>
  <c r="J94" i="2"/>
  <c r="V94" i="2"/>
  <c r="V91" i="2"/>
  <c r="J18" i="2"/>
  <c r="J75" i="2"/>
  <c r="AB51" i="2"/>
  <c r="V16" i="2"/>
  <c r="AH14" i="2"/>
  <c r="C18" i="2"/>
  <c r="O16" i="2"/>
  <c r="Y16" i="2"/>
  <c r="AG14" i="2"/>
  <c r="D91" i="2"/>
  <c r="O19" i="3"/>
  <c r="M19" i="3"/>
  <c r="AK51" i="2"/>
  <c r="O51" i="2"/>
  <c r="AC14" i="2"/>
  <c r="F16" i="2"/>
  <c r="R14" i="2"/>
  <c r="AB14" i="2"/>
  <c r="O91" i="2"/>
  <c r="C94" i="2"/>
  <c r="O94" i="2"/>
  <c r="N18" i="2"/>
  <c r="B20" i="2"/>
  <c r="B75" i="2"/>
  <c r="D9" i="3"/>
  <c r="B81" i="2"/>
  <c r="B78" i="2"/>
  <c r="I4" i="3"/>
  <c r="Y18" i="2"/>
  <c r="B21" i="2"/>
  <c r="B80" i="2"/>
  <c r="Q24" i="3"/>
  <c r="B77" i="2"/>
  <c r="F7" i="3"/>
  <c r="K91" i="2"/>
  <c r="T18" i="2"/>
  <c r="H21" i="2"/>
  <c r="H80" i="2"/>
  <c r="Q25" i="3"/>
  <c r="H78" i="2"/>
  <c r="I5" i="3"/>
  <c r="Q20" i="2"/>
  <c r="AE51" i="2"/>
  <c r="AP51" i="2"/>
  <c r="T51" i="2"/>
  <c r="Y51" i="2"/>
  <c r="N51" i="2"/>
  <c r="AJ51" i="2"/>
  <c r="AN51" i="2"/>
  <c r="R51" i="2"/>
  <c r="AC51" i="2"/>
  <c r="I18" i="2"/>
  <c r="AF16" i="2"/>
  <c r="U16" i="2"/>
  <c r="K20" i="3"/>
  <c r="L18" i="2"/>
  <c r="AI16" i="2"/>
  <c r="X16" i="2"/>
  <c r="AA51" i="2"/>
  <c r="P51" i="2"/>
  <c r="AL51" i="2"/>
  <c r="Z51" i="2"/>
  <c r="H75" i="2"/>
  <c r="D10" i="3"/>
  <c r="H20" i="2"/>
  <c r="T20" i="2"/>
  <c r="H77" i="2"/>
  <c r="F8" i="3"/>
  <c r="J78" i="2"/>
  <c r="J81" i="2"/>
  <c r="J20" i="2"/>
  <c r="V20" i="2"/>
  <c r="V18" i="2"/>
  <c r="J21" i="2"/>
  <c r="J80" i="2"/>
  <c r="J77" i="2"/>
  <c r="R16" i="2"/>
  <c r="AC16" i="2"/>
  <c r="AB16" i="2"/>
  <c r="F18" i="2"/>
  <c r="AA16" i="2"/>
  <c r="Z16" i="2"/>
  <c r="D18" i="2"/>
  <c r="P16" i="2"/>
  <c r="N20" i="2"/>
  <c r="P91" i="2"/>
  <c r="D94" i="2"/>
  <c r="P94" i="2"/>
  <c r="C77" i="2"/>
  <c r="C20" i="2"/>
  <c r="O20" i="2"/>
  <c r="C78" i="2"/>
  <c r="O18" i="2"/>
  <c r="C81" i="2"/>
  <c r="C21" i="2"/>
  <c r="C80" i="2"/>
  <c r="C75" i="2"/>
  <c r="K18" i="2"/>
  <c r="AH18" i="2"/>
  <c r="W16" i="2"/>
  <c r="K94" i="2"/>
  <c r="W94" i="2"/>
  <c r="W91" i="2"/>
  <c r="AG16" i="2"/>
  <c r="AI18" i="2"/>
  <c r="L78" i="2"/>
  <c r="L21" i="2"/>
  <c r="L80" i="2"/>
  <c r="L20" i="2"/>
  <c r="L77" i="2"/>
  <c r="X18" i="2"/>
  <c r="L81" i="2"/>
  <c r="L75" i="2"/>
  <c r="I21" i="2"/>
  <c r="I80" i="2"/>
  <c r="I77" i="2"/>
  <c r="I20" i="2"/>
  <c r="I78" i="2"/>
  <c r="I81" i="2"/>
  <c r="I75" i="2"/>
  <c r="AF18" i="2"/>
  <c r="U18" i="2"/>
  <c r="AE18" i="2"/>
  <c r="K81" i="2"/>
  <c r="K77" i="2"/>
  <c r="K78" i="2"/>
  <c r="K20" i="2"/>
  <c r="K21" i="2"/>
  <c r="K80" i="2"/>
  <c r="W18" i="2"/>
  <c r="K75" i="2"/>
  <c r="AG18" i="2"/>
  <c r="F78" i="2"/>
  <c r="F81" i="2"/>
  <c r="AC18" i="2"/>
  <c r="F75" i="2"/>
  <c r="AB18" i="2"/>
  <c r="F20" i="2"/>
  <c r="F21" i="2"/>
  <c r="F80" i="2"/>
  <c r="R18" i="2"/>
  <c r="F77" i="2"/>
  <c r="D81" i="2"/>
  <c r="D75" i="2"/>
  <c r="AA18" i="2"/>
  <c r="D20" i="2"/>
  <c r="Z18" i="2"/>
  <c r="P18" i="2"/>
  <c r="D21" i="2"/>
  <c r="D80" i="2"/>
  <c r="D78" i="2"/>
  <c r="D77" i="2"/>
  <c r="Y20" i="2"/>
  <c r="AF20" i="2"/>
  <c r="U20" i="2"/>
  <c r="AI20" i="2"/>
  <c r="X20" i="2"/>
  <c r="AH20" i="2"/>
  <c r="AE20" i="2"/>
  <c r="W20" i="2"/>
  <c r="AG20" i="2"/>
  <c r="AB20" i="2"/>
  <c r="AC20" i="2"/>
  <c r="R20" i="2"/>
  <c r="AA20" i="2"/>
  <c r="P20" i="2"/>
  <c r="Z20" i="2"/>
</calcChain>
</file>

<file path=xl/sharedStrings.xml><?xml version="1.0" encoding="utf-8"?>
<sst xmlns="http://schemas.openxmlformats.org/spreadsheetml/2006/main" count="319" uniqueCount="244">
  <si>
    <t>Average stock price (MVPS)</t>
  </si>
  <si>
    <t xml:space="preserve">Weighted average # of shares outstanding </t>
  </si>
  <si>
    <t>Statements are stated in</t>
  </si>
  <si>
    <t>Income Statements</t>
  </si>
  <si>
    <t>Percentage Change Analysis</t>
  </si>
  <si>
    <t>Sales [revenues]</t>
  </si>
  <si>
    <t>Costs of goods sold</t>
  </si>
  <si>
    <t>Operating expenses excluding depreciation</t>
  </si>
  <si>
    <t>Depreciation</t>
  </si>
  <si>
    <t>Earnings before interest and taxes [EBIT]</t>
  </si>
  <si>
    <t>Earnings before taxes [EBT]</t>
  </si>
  <si>
    <t>Taxes</t>
  </si>
  <si>
    <t>Prerred dividends and/or distribution to minority interest</t>
  </si>
  <si>
    <t>Net Income [NI available to common]</t>
  </si>
  <si>
    <t>Dividends to common</t>
  </si>
  <si>
    <t>Addition to retained earnings</t>
  </si>
  <si>
    <t>EPS</t>
  </si>
  <si>
    <t>DPS</t>
  </si>
  <si>
    <t>Balance Sheets</t>
  </si>
  <si>
    <t>Assets</t>
  </si>
  <si>
    <t>Cash and equivalents</t>
  </si>
  <si>
    <t>Short-term investments</t>
  </si>
  <si>
    <t>Accounts receivable</t>
  </si>
  <si>
    <t>Inventories</t>
  </si>
  <si>
    <t>Other current assets</t>
  </si>
  <si>
    <t>Total current assets</t>
  </si>
  <si>
    <t>Total Assets</t>
  </si>
  <si>
    <t>Liabilities and equity</t>
  </si>
  <si>
    <t>Accounts payable</t>
  </si>
  <si>
    <t>Accruals</t>
  </si>
  <si>
    <t>Notes payable</t>
  </si>
  <si>
    <t>Total current liabilities</t>
  </si>
  <si>
    <t>Total debt</t>
  </si>
  <si>
    <t>Retained earnings [accumulated deficit]</t>
  </si>
  <si>
    <t>Treasury stock</t>
  </si>
  <si>
    <t>Total common equity</t>
  </si>
  <si>
    <t>Total liabilities and equity</t>
  </si>
  <si>
    <t>Liquidity</t>
  </si>
  <si>
    <t>Current</t>
  </si>
  <si>
    <t>Quick ratio (acid-test ratio)</t>
  </si>
  <si>
    <t>Asset Management</t>
  </si>
  <si>
    <t>Accounts receivables turnover</t>
  </si>
  <si>
    <t>Days sales outstanding (DSO)</t>
  </si>
  <si>
    <t>Fixed assets turnover (FAT)</t>
  </si>
  <si>
    <t>Total assets turnover (TAT)</t>
  </si>
  <si>
    <t>Accounts payables turnover (Days)</t>
  </si>
  <si>
    <t>Cash cycle</t>
  </si>
  <si>
    <t>Debt Management</t>
  </si>
  <si>
    <t>Times-interest-earned (TIE)</t>
  </si>
  <si>
    <t xml:space="preserve">  EBITDA Coverage Ratio</t>
  </si>
  <si>
    <t>Profitability</t>
  </si>
  <si>
    <t>Profit margin on sales (NPM)</t>
  </si>
  <si>
    <t>Basic earning power (BEP)</t>
  </si>
  <si>
    <t>Return on total assets (ROA)</t>
  </si>
  <si>
    <t>Return on common equity (ROE)</t>
  </si>
  <si>
    <t>Market value</t>
  </si>
  <si>
    <t>Price/earnings ratio (P/E)</t>
  </si>
  <si>
    <t>Price/cash flow ratio (P/CF)</t>
  </si>
  <si>
    <t>Market-to-Book Ratio</t>
  </si>
  <si>
    <t xml:space="preserve"> </t>
  </si>
  <si>
    <t>Book Value Per Share</t>
  </si>
  <si>
    <t>Legend:</t>
  </si>
  <si>
    <t>Return on Equity</t>
  </si>
  <si>
    <t>ROA</t>
  </si>
  <si>
    <t>Net Profit Margin</t>
  </si>
  <si>
    <t>Total Assets turnover</t>
  </si>
  <si>
    <t>Debt ratio</t>
  </si>
  <si>
    <t>Expenses</t>
  </si>
  <si>
    <t>Sales</t>
  </si>
  <si>
    <t>Total assets</t>
  </si>
  <si>
    <t>Total Liabilities</t>
  </si>
  <si>
    <t>Common Equity</t>
  </si>
  <si>
    <t>COGS</t>
  </si>
  <si>
    <t>Op. Exp.</t>
  </si>
  <si>
    <t>Interest</t>
  </si>
  <si>
    <t>CA</t>
  </si>
  <si>
    <t>C.L</t>
  </si>
  <si>
    <t>L.L</t>
  </si>
  <si>
    <t>Equity</t>
  </si>
  <si>
    <t>Cash Cycle</t>
  </si>
  <si>
    <t>DSO</t>
  </si>
  <si>
    <t>FAT</t>
  </si>
  <si>
    <t>Current ratio</t>
  </si>
  <si>
    <t>TIE</t>
  </si>
  <si>
    <t>P/E</t>
  </si>
  <si>
    <t>Quick ratio</t>
  </si>
  <si>
    <t>Op. PM</t>
  </si>
  <si>
    <t>M/B</t>
  </si>
  <si>
    <t>Other Non-Op. Exp.(Inc.)</t>
  </si>
  <si>
    <t>Dividends to common (total, not per share)</t>
  </si>
  <si>
    <t>Other comprehensive income &amp; adjustments</t>
  </si>
  <si>
    <t>Common stock [par &amp; paid-in excess]</t>
  </si>
  <si>
    <t>Inventory period</t>
  </si>
  <si>
    <t>Inventory turnover</t>
  </si>
  <si>
    <t>Inv. Period</t>
  </si>
  <si>
    <t>Statements and Ratios</t>
  </si>
  <si>
    <t>Common Size Statements</t>
  </si>
  <si>
    <t xml:space="preserve">Common Size Statements </t>
  </si>
  <si>
    <t>(% of Sales)</t>
  </si>
  <si>
    <t>(% of Total Assets)</t>
  </si>
  <si>
    <t>Financial Ratios</t>
  </si>
  <si>
    <t>Equity multiplier</t>
  </si>
  <si>
    <t>Equity Multiplier</t>
  </si>
  <si>
    <t>Fiscal year ending on (fill in actual dates)</t>
  </si>
  <si>
    <t>Less interest (net of interest income)</t>
  </si>
  <si>
    <t>Long-term investments</t>
  </si>
  <si>
    <t>Intangibles &amp; other LT operating assets</t>
  </si>
  <si>
    <t>Total operating expense [including COGS]</t>
  </si>
  <si>
    <t>Net income before preferred dividends</t>
  </si>
  <si>
    <t>Net PP&amp;E</t>
  </si>
  <si>
    <t>Long-term debt &amp; other LT liabilities</t>
  </si>
  <si>
    <t>Preferred stock &amp; minority interest</t>
  </si>
  <si>
    <t>Non-operating expense or loss/(income)</t>
  </si>
  <si>
    <t>LA</t>
  </si>
  <si>
    <t>COGS + Op. Expense</t>
  </si>
  <si>
    <t>Interest+Non-Op.Exp.+Taxes+Pref.Div.</t>
  </si>
  <si>
    <t>Operating Capital</t>
  </si>
  <si>
    <t>Investment in operating capital</t>
  </si>
  <si>
    <t>Free cash flow</t>
  </si>
  <si>
    <t>NOPAT</t>
  </si>
  <si>
    <t>Deferred income taxes &amp; other Op. liab.</t>
  </si>
  <si>
    <t>Jun. 30, 2015</t>
  </si>
  <si>
    <t>Jun. 30, 2014</t>
  </si>
  <si>
    <t>Jun. 30, 2013</t>
  </si>
  <si>
    <t>Jun. 30, 2012</t>
  </si>
  <si>
    <t>Jun. 30, 2011</t>
  </si>
  <si>
    <t>Consolidated Statements Of Operations - USD ($) shares in Thousands, $ in Thousands</t>
  </si>
  <si>
    <t>12 Months Ended</t>
  </si>
  <si>
    <t>Consolidated Statements Of Operations [Abstract]</t>
  </si>
  <si>
    <t>Net sales</t>
  </si>
  <si>
    <t>Cost of goods sold:</t>
  </si>
  <si>
    <t>Cost of sales</t>
  </si>
  <si>
    <t>Depreciation related to cost of goods sold</t>
  </si>
  <si>
    <t>Total cost of goods sold</t>
  </si>
  <si>
    <t>Gross profit</t>
  </si>
  <si>
    <t>Operating expenses:</t>
  </si>
  <si>
    <t>Selling, general and administrative</t>
  </si>
  <si>
    <t>Depreciation and amortization</t>
  </si>
  <si>
    <t>Total operating expenses</t>
  </si>
  <si>
    <t>(Loss) Income from operations</t>
  </si>
  <si>
    <t>Other expense</t>
  </si>
  <si>
    <t>Interest expense, net</t>
  </si>
  <si>
    <t>Debt extinguishment charges</t>
  </si>
  <si>
    <t>Other expense, net</t>
  </si>
  <si>
    <t>(Loss) income before income taxes</t>
  </si>
  <si>
    <t>Provision for income taxes</t>
  </si>
  <si>
    <t>Net (loss) income</t>
  </si>
  <si>
    <t>Net loss attributable to noncontrolling interests (See Note 11)</t>
  </si>
  <si>
    <t>Net (loss) income attributable to Elizabeth Arden shareholders</t>
  </si>
  <si>
    <t>Less: Accretion and dividends on preferred stock (See Note 12)</t>
  </si>
  <si>
    <t>Net (loss) income attributable to Elizabeth Arden common shareholders</t>
  </si>
  <si>
    <t>Net (loss) income per common share attributable to Elizabeth Arden shareholders:</t>
  </si>
  <si>
    <t>Basic</t>
  </si>
  <si>
    <t>Diluted</t>
  </si>
  <si>
    <t>Weighted average number of common shares:</t>
  </si>
  <si>
    <t>Consolidated Balance Sheets - USD ($) $ in Thousands</t>
  </si>
  <si>
    <t>Current Assets</t>
  </si>
  <si>
    <t>Cash and cash equivalents</t>
  </si>
  <si>
    <t>Accounts receivable, net</t>
  </si>
  <si>
    <t>Deferred income taxes</t>
  </si>
  <si>
    <t>Prepaid expenses and other assets</t>
  </si>
  <si>
    <t>Property and equipment, net</t>
  </si>
  <si>
    <t>Exclusive brand licenses, trademarks and intangibles, net</t>
  </si>
  <si>
    <t>Goodwill</t>
  </si>
  <si>
    <t>Debt financing costs, net</t>
  </si>
  <si>
    <t>Other</t>
  </si>
  <si>
    <t>Current Liabilities</t>
  </si>
  <si>
    <t>Short-term debt</t>
  </si>
  <si>
    <t>  </t>
  </si>
  <si>
    <t>Accounts payable - trade</t>
  </si>
  <si>
    <t>Other payables and accrued expenses</t>
  </si>
  <si>
    <t>Long-term Liabilities</t>
  </si>
  <si>
    <t>Long-term debt</t>
  </si>
  <si>
    <t>Deferred income taxes and other liabilities</t>
  </si>
  <si>
    <t>Total long-term liabilities</t>
  </si>
  <si>
    <t>Total liabilities</t>
  </si>
  <si>
    <t>Redeemable noncontrolling interest (see Note 12)</t>
  </si>
  <si>
    <t>Commitments and contingencies (see Note 10)</t>
  </si>
  <si>
    <t>Redeemable Series A Serial Preferred Stock, $0.01 par value 50,000 shares authorized: 50,000 shares issued and outstanding</t>
  </si>
  <si>
    <t>Shareholders' Equity</t>
  </si>
  <si>
    <t>Common stock, $.01 par value, 50,000,000 shares authorized; 34,652,963 and 34,599,106 shares issued, respectively</t>
  </si>
  <si>
    <t>Additional paid-in capital</t>
  </si>
  <si>
    <t>(Accumulated deficit) retained earnings</t>
  </si>
  <si>
    <t>Treasury stock (4,841,308 and 4,841,308 shares at cost, respectively)</t>
  </si>
  <si>
    <t>Accumulated other comprehensive loss</t>
  </si>
  <si>
    <t>Total Elizabeth Arden shareholders' equity</t>
  </si>
  <si>
    <t>Noncontrolling interest (See Note 12)</t>
  </si>
  <si>
    <t>Total shareholders' equity</t>
  </si>
  <si>
    <t>Total liabilities, redeemable noncontrolling interest, redeemable preferred stock and shareholders' equity</t>
  </si>
  <si>
    <t>CONSOLIDATED STATEMENTS OF EARNINGS - USD ($) shares in Millions, $ in Millions</t>
  </si>
  <si>
    <t>CONSOLIDATED STATEMENTS OF EARNINGS</t>
  </si>
  <si>
    <t>Net Sales</t>
  </si>
  <si>
    <t>Cost of Sales</t>
  </si>
  <si>
    <t>Gross Profit</t>
  </si>
  <si>
    <t>Operating expenses</t>
  </si>
  <si>
    <t>Restructuring and other charges</t>
  </si>
  <si>
    <t>Goodwill impairment</t>
  </si>
  <si>
    <t>Impairment of other intangible assets</t>
  </si>
  <si>
    <t>Operating Income</t>
  </si>
  <si>
    <t>Interest expense</t>
  </si>
  <si>
    <t>Interest expense on debt extinguishment</t>
  </si>
  <si>
    <t>Interest income and investment income, net</t>
  </si>
  <si>
    <t>Other income</t>
  </si>
  <si>
    <t>Earnings before Income Taxes</t>
  </si>
  <si>
    <t>Net Earnings</t>
  </si>
  <si>
    <t>Net earnings attributable to noncontrolling interests</t>
  </si>
  <si>
    <t>Net Earnings Attributable to The Estee Lauder Companies Inc.</t>
  </si>
  <si>
    <t>Net earnings attributable to The Estee Lauder Companies Inc. per common share</t>
  </si>
  <si>
    <t>Basic (in dollars per share)</t>
  </si>
  <si>
    <t>Diluted (in dollars per share)</t>
  </si>
  <si>
    <t>Weighted-average common shares outstanding</t>
  </si>
  <si>
    <t>Basic (in shares)</t>
  </si>
  <si>
    <t>Diluted (in shares)</t>
  </si>
  <si>
    <t>Cash dividends declared per common share (in dollars per share)</t>
  </si>
  <si>
    <t>CONSOLIDATED BALANCE SHEETS - USD ($) $ in Millions</t>
  </si>
  <si>
    <t>June. 30, 2013</t>
  </si>
  <si>
    <t>June. 30, 2012</t>
  </si>
  <si>
    <t>Inventory and promotional merchandise, net</t>
  </si>
  <si>
    <t>Prepaid expenses and other current assets</t>
  </si>
  <si>
    <t>Property, Plant and Equipment, net</t>
  </si>
  <si>
    <t>Other Assets</t>
  </si>
  <si>
    <t>Other intangible assets, net</t>
  </si>
  <si>
    <t>Other assets</t>
  </si>
  <si>
    <t>Total other assets</t>
  </si>
  <si>
    <t>Current debt</t>
  </si>
  <si>
    <t>Other accrued liabilities</t>
  </si>
  <si>
    <t>Noncurrent Liabilities</t>
  </si>
  <si>
    <t>Other noncurrent liabilities</t>
  </si>
  <si>
    <t>Total noncurrent liabilities</t>
  </si>
  <si>
    <t>Commitments and Contingencies</t>
  </si>
  <si>
    <t>Common stock, $.01 par value; Class A shares authorized: 1,300,000,000 at June 30, 2015 and June 30, 2014; shares issued: 418,530,857 at June 30, 2015 and 412,590,913 at June 30, 2014; Class B shares authorized: 304,000,000 at June 30, 2015 and June 30, 2014; shares issued and outstanding: 147,046,137 at June 30, 2015 and 148,728,082 at June 30, 2014</t>
  </si>
  <si>
    <t>Paid-in capital</t>
  </si>
  <si>
    <t>Retained earnings</t>
  </si>
  <si>
    <t>Accumulated other comprehensive income (loss)</t>
  </si>
  <si>
    <t>Stockholders' equity before treasury stock</t>
  </si>
  <si>
    <t>Less: Treasury stock, at cost; 190,694,630 Class A shares at June 30, 2015 and 178,434,483 Class A shares at June 30, 2014</t>
  </si>
  <si>
    <t>Total stockholders' equity - The Estee Lauder Companies Inc.</t>
  </si>
  <si>
    <t>Noncontrolling interests</t>
  </si>
  <si>
    <t>Total equity</t>
  </si>
  <si>
    <t>June.30, 2011</t>
  </si>
  <si>
    <t>ELIZABETH ARDEN INC</t>
  </si>
  <si>
    <t>ESTEE LAUDER COMPANIES INC</t>
  </si>
  <si>
    <t>Balance sheets</t>
  </si>
  <si>
    <t>Accrued income taxes</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</si>
</sst>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6" formatCode="&quot;$&quot;#,##0_);[Red]\(&quot;$&quot;#,##0\)"/>
    <numFmt numFmtId="8" formatCode="&quot;$&quot;#,##0.00_);[Red]\(&quot;$&quot;#,##0.00\)"/>
    <numFmt numFmtId="44" formatCode="_(&quot;$&quot;* #,##0.00_);_(&quot;$&quot;* \(#,##0.00\);_(&quot;$&quot;* &quot;-&quot;??_);_(@_)"/>
    <numFmt numFmtId="43" formatCode="_(* #,##0.00_);_(* \(#,##0.00\);_(* &quot;-&quot;??_);_(@_)"/>
    <numFmt numFmtId="164" formatCode="&quot;$&quot;#,##0.00"/>
    <numFmt numFmtId="165" formatCode="&quot;$&quot;#,##0.0"/>
    <numFmt numFmtId="166" formatCode="&quot;$&quot;#,##0.0_);[Red]\(&quot;$&quot;#,##0.0\)"/>
    <numFmt numFmtId="167" formatCode="0.0%"/>
    <numFmt numFmtId="168" formatCode="&quot;$&quot;#,##0.000"/>
    <numFmt numFmtId="169" formatCode="&quot;$&quot;#,##0.000_);[Red]\(&quot;$&quot;#,##0.000\)"/>
    <numFmt numFmtId="170" formatCode="&quot;$&quot;#,##0"/>
    <numFmt numFmtId="171" formatCode="0.00&quot; X&quot;;[Red]\(0.00\)&quot; X&quot;"/>
    <numFmt numFmtId="172" formatCode="0.00&quot; times&quot;;[Red]\(0.00\)&quot; times&quot;"/>
    <numFmt numFmtId="173" formatCode="0.00&quot; days&quot;;[Red]\(0.00\)&quot; days&quot;"/>
    <numFmt numFmtId="174" formatCode="&quot;Year &quot;0&quot; Comparison&quot;"/>
    <numFmt numFmtId="175" formatCode="_(* #,##0_);_(* \(#,##0\);_(* &quot;-&quot;??_);_(@_)"/>
    <numFmt numFmtId="176" formatCode="0.0&quot; days&quot;"/>
    <numFmt numFmtId="177" formatCode="&quot;Current Year: &quot;0"/>
    <numFmt numFmtId="178" formatCode="0.0&quot; X&quot;;\(0.0\)&quot; X&quot;"/>
    <numFmt numFmtId="179" formatCode="0.00_);\(0.00\)"/>
    <numFmt numFmtId="180" formatCode="_(&quot;$ &quot;#,##0_);_(&quot;$ &quot;\(#,##0\)"/>
    <numFmt numFmtId="181" formatCode="_(&quot;$ &quot;#,##0.0_);_(&quot;$ &quot;\(#,##0.0\)"/>
    <numFmt numFmtId="182" formatCode="#,##0.0_);\(#,##0.0\)"/>
    <numFmt numFmtId="183" formatCode="_(&quot;$ &quot;#,##0.00_);_(&quot;$ &quot;\(#,##0.00\)"/>
  </numFmts>
  <fonts count="53" x14ac:knownFonts="1">
    <font>
      <sz val="10"/>
      <name val="Arial"/>
      <family val="2"/>
    </font>
    <font>
      <sz val="10"/>
      <name val="Arial"/>
      <family val="2"/>
    </font>
    <font>
      <u/>
      <sz val="10"/>
      <color indexed="12"/>
      <name val="Arial"/>
      <family val="2"/>
    </font>
    <font>
      <sz val="10"/>
      <name val="Helv"/>
      <family val="2"/>
    </font>
    <font>
      <b/>
      <sz val="14"/>
      <name val="Times New Roman"/>
      <family val="1"/>
    </font>
    <font>
      <b/>
      <sz val="10"/>
      <color indexed="10"/>
      <name val="Arial"/>
      <family val="2"/>
    </font>
    <font>
      <b/>
      <i/>
      <sz val="10"/>
      <name val="Times New Roman"/>
      <family val="1"/>
    </font>
    <font>
      <b/>
      <sz val="10"/>
      <name val="Times New Roman"/>
      <family val="1"/>
    </font>
    <font>
      <b/>
      <sz val="10"/>
      <color indexed="12"/>
      <name val="Times New Roman"/>
      <family val="1"/>
    </font>
    <font>
      <b/>
      <sz val="12"/>
      <name val="Times New Roman"/>
      <family val="1"/>
    </font>
    <font>
      <b/>
      <sz val="14"/>
      <color indexed="18"/>
      <name val="Times New Roman"/>
      <family val="1"/>
    </font>
    <font>
      <b/>
      <sz val="14"/>
      <color indexed="17"/>
      <name val="Times New Roman"/>
      <family val="1"/>
    </font>
    <font>
      <b/>
      <sz val="10"/>
      <color indexed="18"/>
      <name val="Times New Roman"/>
      <family val="1"/>
    </font>
    <font>
      <b/>
      <sz val="10"/>
      <color indexed="16"/>
      <name val="Times New Roman"/>
      <family val="1"/>
    </font>
    <font>
      <b/>
      <sz val="10"/>
      <color indexed="60"/>
      <name val="Times New Roman"/>
      <family val="1"/>
    </font>
    <font>
      <b/>
      <u/>
      <sz val="10"/>
      <name val="Times New Roman"/>
      <family val="1"/>
    </font>
    <font>
      <b/>
      <sz val="10"/>
      <color indexed="8"/>
      <name val="Times New Roman"/>
      <family val="1"/>
    </font>
    <font>
      <b/>
      <sz val="10"/>
      <color indexed="21"/>
      <name val="Times New Roman"/>
      <family val="1"/>
    </font>
    <font>
      <b/>
      <i/>
      <sz val="10"/>
      <color indexed="12"/>
      <name val="Arial"/>
      <family val="2"/>
    </font>
    <font>
      <b/>
      <sz val="10"/>
      <name val="Arial"/>
      <family val="2"/>
    </font>
    <font>
      <sz val="10"/>
      <color indexed="23"/>
      <name val="Arial"/>
      <family val="2"/>
    </font>
    <font>
      <b/>
      <sz val="10"/>
      <color indexed="23"/>
      <name val="Arial"/>
      <family val="2"/>
    </font>
    <font>
      <b/>
      <u/>
      <sz val="10"/>
      <name val="Arial"/>
      <family val="2"/>
    </font>
    <font>
      <b/>
      <i/>
      <sz val="12"/>
      <color indexed="9"/>
      <name val="Times New Roman"/>
      <family val="1"/>
    </font>
    <font>
      <b/>
      <sz val="10"/>
      <color indexed="18"/>
      <name val="Arial"/>
      <family val="2"/>
    </font>
    <font>
      <b/>
      <i/>
      <sz val="12"/>
      <name val="Times New Roman"/>
      <family val="1"/>
    </font>
    <font>
      <b/>
      <sz val="10"/>
      <color indexed="17"/>
      <name val="Arial"/>
      <family val="2"/>
    </font>
    <font>
      <sz val="10"/>
      <color indexed="10"/>
      <name val="Arial"/>
      <family val="2"/>
    </font>
    <font>
      <b/>
      <sz val="8"/>
      <name val="Arial"/>
      <family val="2"/>
    </font>
    <font>
      <b/>
      <sz val="14"/>
      <color indexed="10"/>
      <name val="Times New Roman"/>
      <family val="1"/>
    </font>
    <font>
      <sz val="10"/>
      <color indexed="18"/>
      <name val="Arial"/>
      <family val="2"/>
    </font>
    <font>
      <b/>
      <sz val="11"/>
      <color indexed="18"/>
      <name val="Times New Roman"/>
      <family val="1"/>
    </font>
    <font>
      <b/>
      <sz val="12"/>
      <color indexed="18"/>
      <name val="Times New Roman"/>
      <family val="1"/>
    </font>
    <font>
      <b/>
      <sz val="12"/>
      <color indexed="10"/>
      <name val="Times New Roman"/>
      <family val="1"/>
    </font>
    <font>
      <b/>
      <sz val="16"/>
      <name val="Times New Roman"/>
      <family val="1"/>
    </font>
    <font>
      <b/>
      <sz val="11"/>
      <color indexed="10"/>
      <name val="Times New Roman"/>
      <family val="1"/>
    </font>
    <font>
      <b/>
      <sz val="11"/>
      <name val="Times New Roman"/>
      <family val="1"/>
    </font>
    <font>
      <b/>
      <sz val="11"/>
      <color indexed="18"/>
      <name val="Times New Roman"/>
      <family val="1"/>
    </font>
    <font>
      <sz val="11"/>
      <color indexed="10"/>
      <name val="Arial"/>
      <family val="2"/>
    </font>
    <font>
      <b/>
      <sz val="10"/>
      <color indexed="10"/>
      <name val="Times New Roman"/>
      <family val="1"/>
    </font>
    <font>
      <b/>
      <sz val="12"/>
      <color indexed="16"/>
      <name val="Times New Roman"/>
      <family val="1"/>
    </font>
    <font>
      <b/>
      <i/>
      <sz val="11"/>
      <name val="Times New Roman"/>
      <family val="1"/>
    </font>
    <font>
      <b/>
      <sz val="10"/>
      <color indexed="22"/>
      <name val="Times New Roman"/>
      <family val="1"/>
    </font>
    <font>
      <b/>
      <sz val="10"/>
      <color theme="0"/>
      <name val="Times New Roman"/>
      <family val="1"/>
    </font>
    <font>
      <b/>
      <sz val="10"/>
      <color theme="0" tint="-4.9989318521683403E-2"/>
      <name val="Times New Roman"/>
      <family val="1"/>
    </font>
    <font>
      <sz val="10"/>
      <color theme="0"/>
      <name val="Arial"/>
      <family val="2"/>
    </font>
    <font>
      <sz val="8"/>
      <color rgb="FF000000"/>
      <name val="Arial"/>
      <family val="2"/>
    </font>
    <font>
      <b/>
      <sz val="8"/>
      <color rgb="FF000000"/>
      <name val="Arial"/>
      <family val="2"/>
    </font>
    <font>
      <sz val="11"/>
      <color rgb="FF000000"/>
      <name val="Calibri"/>
      <family val="2"/>
    </font>
    <font>
      <b/>
      <sz val="11"/>
      <color theme="1"/>
      <name val="Calibri"/>
      <family val="2"/>
      <scheme val="minor"/>
    </font>
    <font>
      <b/>
      <sz val="11"/>
      <color rgb="FF000000"/>
      <name val="Calibri"/>
      <family val="2"/>
    </font>
    <font>
      <sz val="10"/>
      <name val="Times New Roman"/>
      <family val="1"/>
    </font>
    <font>
      <sz val="10"/>
      <color theme="1"/>
      <name val="Arial"/>
      <family val="2"/>
    </font>
  </fonts>
  <fills count="13">
    <fill>
      <patternFill patternType="none"/>
    </fill>
    <fill>
      <patternFill patternType="gray125"/>
    </fill>
    <fill>
      <patternFill patternType="solid">
        <fgColor indexed="26"/>
        <bgColor indexed="64"/>
      </patternFill>
    </fill>
    <fill>
      <patternFill patternType="solid">
        <fgColor indexed="42"/>
        <bgColor indexed="64"/>
      </patternFill>
    </fill>
    <fill>
      <patternFill patternType="solid">
        <fgColor indexed="27"/>
        <bgColor indexed="64"/>
      </patternFill>
    </fill>
    <fill>
      <patternFill patternType="solid">
        <fgColor indexed="41"/>
        <bgColor indexed="64"/>
      </patternFill>
    </fill>
    <fill>
      <patternFill patternType="solid">
        <fgColor indexed="22"/>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indexed="45"/>
        <bgColor indexed="64"/>
      </patternFill>
    </fill>
    <fill>
      <patternFill patternType="solid">
        <fgColor indexed="53"/>
        <bgColor indexed="64"/>
      </patternFill>
    </fill>
    <fill>
      <patternFill patternType="solid">
        <fgColor theme="7" tint="0.59999389629810485"/>
        <bgColor indexed="64"/>
      </patternFill>
    </fill>
  </fills>
  <borders count="71">
    <border>
      <left/>
      <right/>
      <top/>
      <bottom/>
      <diagonal/>
    </border>
    <border>
      <left/>
      <right style="double">
        <color indexed="46"/>
      </right>
      <top style="medium">
        <color auto="1"/>
      </top>
      <bottom/>
      <diagonal/>
    </border>
    <border>
      <left/>
      <right style="double">
        <color indexed="46"/>
      </right>
      <top/>
      <bottom/>
      <diagonal/>
    </border>
    <border>
      <left/>
      <right style="double">
        <color indexed="46"/>
      </right>
      <top/>
      <bottom style="medium">
        <color auto="1"/>
      </bottom>
      <diagonal/>
    </border>
    <border>
      <left/>
      <right/>
      <top/>
      <bottom style="double">
        <color indexed="46"/>
      </bottom>
      <diagonal/>
    </border>
    <border>
      <left/>
      <right style="double">
        <color indexed="46"/>
      </right>
      <top/>
      <bottom style="double">
        <color indexed="46"/>
      </bottom>
      <diagonal/>
    </border>
    <border>
      <left style="thick">
        <color auto="1"/>
      </left>
      <right/>
      <top/>
      <bottom/>
      <diagonal/>
    </border>
    <border>
      <left/>
      <right/>
      <top style="medium">
        <color auto="1"/>
      </top>
      <bottom/>
      <diagonal/>
    </border>
    <border>
      <left style="medium">
        <color auto="1"/>
      </left>
      <right/>
      <top/>
      <bottom/>
      <diagonal/>
    </border>
    <border>
      <left style="mediumDashed">
        <color auto="1"/>
      </left>
      <right/>
      <top/>
      <bottom/>
      <diagonal/>
    </border>
    <border>
      <left/>
      <right style="medium">
        <color auto="1"/>
      </right>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style="mediumDashed">
        <color auto="1"/>
      </left>
      <right/>
      <top/>
      <bottom style="medium">
        <color auto="1"/>
      </bottom>
      <diagonal/>
    </border>
    <border>
      <left/>
      <right style="medium">
        <color auto="1"/>
      </right>
      <top/>
      <bottom style="medium">
        <color auto="1"/>
      </bottom>
      <diagonal/>
    </border>
    <border>
      <left/>
      <right style="medium">
        <color auto="1"/>
      </right>
      <top style="thin">
        <color auto="1"/>
      </top>
      <bottom style="double">
        <color auto="1"/>
      </bottom>
      <diagonal/>
    </border>
    <border>
      <left/>
      <right style="medium">
        <color auto="1"/>
      </right>
      <top style="thin">
        <color auto="1"/>
      </top>
      <bottom style="thin">
        <color auto="1"/>
      </bottom>
      <diagonal/>
    </border>
    <border>
      <left/>
      <right/>
      <top/>
      <bottom style="thin">
        <color auto="1"/>
      </bottom>
      <diagonal/>
    </border>
    <border>
      <left style="medium">
        <color auto="1"/>
      </left>
      <right/>
      <top/>
      <bottom style="thin">
        <color auto="1"/>
      </bottom>
      <diagonal/>
    </border>
    <border>
      <left style="mediumDashed">
        <color auto="1"/>
      </left>
      <right/>
      <top/>
      <bottom style="thin">
        <color auto="1"/>
      </bottom>
      <diagonal/>
    </border>
    <border>
      <left/>
      <right/>
      <top/>
      <bottom style="double">
        <color auto="1"/>
      </bottom>
      <diagonal/>
    </border>
    <border>
      <left style="medium">
        <color auto="1"/>
      </left>
      <right/>
      <top style="thin">
        <color auto="1"/>
      </top>
      <bottom style="double">
        <color auto="1"/>
      </bottom>
      <diagonal/>
    </border>
    <border>
      <left/>
      <right/>
      <top style="thin">
        <color auto="1"/>
      </top>
      <bottom style="double">
        <color auto="1"/>
      </bottom>
      <diagonal/>
    </border>
    <border>
      <left/>
      <right/>
      <top style="thin">
        <color auto="1"/>
      </top>
      <bottom style="thin">
        <color auto="1"/>
      </bottom>
      <diagonal/>
    </border>
    <border>
      <left style="medium">
        <color auto="1"/>
      </left>
      <right/>
      <top style="thin">
        <color auto="1"/>
      </top>
      <bottom style="thin">
        <color auto="1"/>
      </bottom>
      <diagonal/>
    </border>
    <border>
      <left/>
      <right style="medium">
        <color auto="1"/>
      </right>
      <top/>
      <bottom style="double">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style="thick">
        <color indexed="9"/>
      </right>
      <top/>
      <bottom/>
      <diagonal/>
    </border>
    <border>
      <left style="thick">
        <color indexed="9"/>
      </left>
      <right style="thick">
        <color indexed="9"/>
      </right>
      <top/>
      <bottom/>
      <diagonal/>
    </border>
    <border>
      <left style="thick">
        <color indexed="9"/>
      </left>
      <right/>
      <top/>
      <bottom/>
      <diagonal/>
    </border>
    <border>
      <left style="thick">
        <color indexed="9"/>
      </left>
      <right style="thick">
        <color indexed="26"/>
      </right>
      <top/>
      <bottom/>
      <diagonal/>
    </border>
    <border>
      <left/>
      <right style="medium">
        <color indexed="8"/>
      </right>
      <top style="medium">
        <color auto="1"/>
      </top>
      <bottom/>
      <diagonal/>
    </border>
    <border>
      <left style="medium">
        <color indexed="8"/>
      </left>
      <right/>
      <top style="medium">
        <color auto="1"/>
      </top>
      <bottom/>
      <diagonal/>
    </border>
    <border>
      <left/>
      <right/>
      <top style="medium">
        <color auto="1"/>
      </top>
      <bottom style="medium">
        <color auto="1"/>
      </bottom>
      <diagonal/>
    </border>
    <border>
      <left/>
      <right/>
      <top style="double">
        <color indexed="46"/>
      </top>
      <bottom/>
      <diagonal/>
    </border>
    <border>
      <left/>
      <right style="medium">
        <color indexed="8"/>
      </right>
      <top style="double">
        <color indexed="46"/>
      </top>
      <bottom/>
      <diagonal/>
    </border>
    <border>
      <left style="medium">
        <color indexed="8"/>
      </left>
      <right/>
      <top style="double">
        <color indexed="46"/>
      </top>
      <bottom/>
      <diagonal/>
    </border>
    <border>
      <left style="mediumDashed">
        <color auto="1"/>
      </left>
      <right/>
      <top style="double">
        <color indexed="46"/>
      </top>
      <bottom/>
      <diagonal/>
    </border>
    <border>
      <left/>
      <right style="double">
        <color indexed="46"/>
      </right>
      <top style="double">
        <color indexed="46"/>
      </top>
      <bottom/>
      <diagonal/>
    </border>
    <border>
      <left style="double">
        <color indexed="46"/>
      </left>
      <right/>
      <top style="double">
        <color indexed="46"/>
      </top>
      <bottom/>
      <diagonal/>
    </border>
    <border>
      <left style="double">
        <color indexed="46"/>
      </left>
      <right/>
      <top/>
      <bottom style="double">
        <color indexed="46"/>
      </bottom>
      <diagonal/>
    </border>
    <border>
      <left style="double">
        <color indexed="46"/>
      </left>
      <right/>
      <top/>
      <bottom/>
      <diagonal/>
    </border>
    <border>
      <left style="medium">
        <color auto="1"/>
      </left>
      <right/>
      <top style="medium">
        <color auto="1"/>
      </top>
      <bottom/>
      <diagonal/>
    </border>
    <border>
      <left style="mediumDashed">
        <color auto="1"/>
      </left>
      <right style="mediumDashed">
        <color auto="1"/>
      </right>
      <top style="medium">
        <color auto="1"/>
      </top>
      <bottom/>
      <diagonal/>
    </border>
    <border>
      <left style="mediumDashed">
        <color auto="1"/>
      </left>
      <right style="mediumDashed">
        <color auto="1"/>
      </right>
      <top/>
      <bottom/>
      <diagonal/>
    </border>
    <border>
      <left style="mediumDashed">
        <color auto="1"/>
      </left>
      <right style="mediumDashed">
        <color auto="1"/>
      </right>
      <top/>
      <bottom style="thin">
        <color auto="1"/>
      </bottom>
      <diagonal/>
    </border>
    <border>
      <left style="mediumDashed">
        <color auto="1"/>
      </left>
      <right style="mediumDashed">
        <color auto="1"/>
      </right>
      <top style="thin">
        <color auto="1"/>
      </top>
      <bottom style="double">
        <color auto="1"/>
      </bottom>
      <diagonal/>
    </border>
    <border>
      <left style="mediumDashed">
        <color auto="1"/>
      </left>
      <right style="mediumDashed">
        <color auto="1"/>
      </right>
      <top/>
      <bottom style="medium">
        <color auto="1"/>
      </bottom>
      <diagonal/>
    </border>
    <border>
      <left style="mediumDashed">
        <color auto="1"/>
      </left>
      <right style="mediumDashed">
        <color auto="1"/>
      </right>
      <top style="thin">
        <color auto="1"/>
      </top>
      <bottom style="thin">
        <color auto="1"/>
      </bottom>
      <diagonal/>
    </border>
    <border>
      <left style="mediumDashed">
        <color auto="1"/>
      </left>
      <right style="mediumDashed">
        <color auto="1"/>
      </right>
      <top/>
      <bottom style="double">
        <color auto="1"/>
      </bottom>
      <diagonal/>
    </border>
    <border>
      <left style="mediumDashed">
        <color auto="1"/>
      </left>
      <right style="mediumDashed">
        <color auto="1"/>
      </right>
      <top style="double">
        <color indexed="46"/>
      </top>
      <bottom/>
      <diagonal/>
    </border>
    <border>
      <left/>
      <right/>
      <top style="thin">
        <color auto="1"/>
      </top>
      <bottom style="medium">
        <color auto="1"/>
      </bottom>
      <diagonal/>
    </border>
    <border>
      <left style="double">
        <color indexed="46"/>
      </left>
      <right style="double">
        <color indexed="46"/>
      </right>
      <top style="double">
        <color indexed="46"/>
      </top>
      <bottom/>
      <diagonal/>
    </border>
    <border>
      <left style="double">
        <color indexed="46"/>
      </left>
      <right style="double">
        <color indexed="46"/>
      </right>
      <top/>
      <bottom/>
      <diagonal/>
    </border>
    <border>
      <left style="double">
        <color indexed="46"/>
      </left>
      <right style="double">
        <color indexed="46"/>
      </right>
      <top/>
      <bottom style="double">
        <color indexed="46"/>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style="thin">
        <color indexed="22"/>
      </right>
      <top/>
      <bottom style="thin">
        <color indexed="22"/>
      </bottom>
      <diagonal/>
    </border>
    <border>
      <left/>
      <right/>
      <top/>
      <bottom style="medium">
        <color indexed="48"/>
      </bottom>
      <diagonal/>
    </border>
    <border>
      <left style="medium">
        <color indexed="48"/>
      </left>
      <right/>
      <top style="medium">
        <color indexed="48"/>
      </top>
      <bottom style="medium">
        <color indexed="48"/>
      </bottom>
      <diagonal/>
    </border>
    <border>
      <left/>
      <right/>
      <top style="medium">
        <color indexed="48"/>
      </top>
      <bottom style="medium">
        <color indexed="48"/>
      </bottom>
      <diagonal/>
    </border>
    <border>
      <left/>
      <right style="medium">
        <color indexed="48"/>
      </right>
      <top style="medium">
        <color indexed="48"/>
      </top>
      <bottom style="medium">
        <color indexed="48"/>
      </bottom>
      <diagonal/>
    </border>
    <border>
      <left style="thin">
        <color indexed="22"/>
      </left>
      <right/>
      <top style="thin">
        <color indexed="22"/>
      </top>
      <bottom/>
      <diagonal/>
    </border>
    <border>
      <left/>
      <right style="thin">
        <color indexed="22"/>
      </right>
      <top style="thin">
        <color indexed="22"/>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xf numFmtId="0" fontId="3" fillId="0" borderId="0"/>
    <xf numFmtId="0" fontId="1" fillId="0" borderId="0"/>
    <xf numFmtId="9" fontId="1" fillId="0" borderId="0" applyFont="0" applyFill="0" applyBorder="0" applyAlignment="0" applyProtection="0"/>
  </cellStyleXfs>
  <cellXfs count="442">
    <xf numFmtId="0" fontId="0" fillId="0" borderId="0" xfId="0"/>
    <xf numFmtId="0" fontId="5" fillId="0" borderId="0" xfId="0" applyFont="1"/>
    <xf numFmtId="0" fontId="2" fillId="0" borderId="0" xfId="3" applyAlignment="1">
      <alignment horizontal="left" indent="1"/>
    </xf>
    <xf numFmtId="0" fontId="6" fillId="0" borderId="0" xfId="0" applyFont="1"/>
    <xf numFmtId="0" fontId="7" fillId="0" borderId="0" xfId="0" applyFont="1"/>
    <xf numFmtId="0" fontId="7" fillId="2" borderId="1" xfId="0" applyFont="1" applyFill="1" applyBorder="1"/>
    <xf numFmtId="0" fontId="7" fillId="2" borderId="2" xfId="0" applyFont="1" applyFill="1" applyBorder="1"/>
    <xf numFmtId="0" fontId="7" fillId="2" borderId="3" xfId="0" applyFont="1" applyFill="1" applyBorder="1"/>
    <xf numFmtId="0" fontId="0" fillId="0" borderId="6" xfId="0" applyBorder="1"/>
    <xf numFmtId="0" fontId="14" fillId="2" borderId="7" xfId="0" applyFont="1" applyFill="1" applyBorder="1" applyAlignment="1" applyProtection="1">
      <alignment horizontal="center"/>
      <protection locked="0"/>
    </xf>
    <xf numFmtId="0" fontId="7" fillId="2" borderId="0" xfId="0" applyFont="1" applyFill="1" applyProtection="1">
      <protection locked="0"/>
    </xf>
    <xf numFmtId="9" fontId="8" fillId="0" borderId="0" xfId="6" applyFont="1" applyProtection="1">
      <protection locked="0"/>
    </xf>
    <xf numFmtId="9" fontId="11" fillId="0" borderId="0" xfId="6" applyFont="1" applyAlignment="1" applyProtection="1">
      <alignment horizontal="center"/>
      <protection locked="0"/>
    </xf>
    <xf numFmtId="0" fontId="7" fillId="0" borderId="0" xfId="0" applyFont="1" applyProtection="1">
      <protection locked="0"/>
    </xf>
    <xf numFmtId="0" fontId="7" fillId="0" borderId="0" xfId="0" applyFont="1" applyAlignment="1" applyProtection="1">
      <alignment horizontal="center"/>
      <protection locked="0"/>
    </xf>
    <xf numFmtId="0" fontId="0" fillId="0" borderId="0" xfId="0" applyFont="1" applyProtection="1">
      <protection locked="0"/>
    </xf>
    <xf numFmtId="0" fontId="7" fillId="2" borderId="8" xfId="0" applyFont="1" applyFill="1" applyBorder="1" applyProtection="1">
      <protection locked="0"/>
    </xf>
    <xf numFmtId="165" fontId="7" fillId="0" borderId="0" xfId="0" applyNumberFormat="1" applyFont="1" applyProtection="1">
      <protection locked="0"/>
    </xf>
    <xf numFmtId="10" fontId="7" fillId="3" borderId="0" xfId="0" applyNumberFormat="1" applyFont="1" applyFill="1" applyProtection="1">
      <protection locked="0"/>
    </xf>
    <xf numFmtId="10" fontId="7" fillId="2" borderId="8" xfId="0" applyNumberFormat="1" applyFont="1" applyFill="1" applyBorder="1" applyProtection="1">
      <protection locked="0"/>
    </xf>
    <xf numFmtId="10" fontId="7" fillId="2" borderId="0" xfId="0" applyNumberFormat="1" applyFont="1" applyFill="1" applyProtection="1">
      <protection locked="0"/>
    </xf>
    <xf numFmtId="10" fontId="7" fillId="2" borderId="9" xfId="0" applyNumberFormat="1" applyFont="1" applyFill="1" applyBorder="1" applyProtection="1">
      <protection locked="0"/>
    </xf>
    <xf numFmtId="10" fontId="7" fillId="2" borderId="10" xfId="0" applyNumberFormat="1" applyFont="1" applyFill="1" applyBorder="1" applyProtection="1">
      <protection locked="0"/>
    </xf>
    <xf numFmtId="10" fontId="7" fillId="2" borderId="11" xfId="0" applyNumberFormat="1" applyFont="1" applyFill="1" applyBorder="1" applyProtection="1">
      <protection locked="0"/>
    </xf>
    <xf numFmtId="10" fontId="7" fillId="3" borderId="12" xfId="0" applyNumberFormat="1" applyFont="1" applyFill="1" applyBorder="1" applyProtection="1">
      <protection locked="0"/>
    </xf>
    <xf numFmtId="10" fontId="7" fillId="2" borderId="13" xfId="0" applyNumberFormat="1" applyFont="1" applyFill="1" applyBorder="1" applyProtection="1">
      <protection locked="0"/>
    </xf>
    <xf numFmtId="10" fontId="7" fillId="2" borderId="12" xfId="0" applyNumberFormat="1" applyFont="1" applyFill="1" applyBorder="1" applyProtection="1">
      <protection locked="0"/>
    </xf>
    <xf numFmtId="10" fontId="7" fillId="2" borderId="14" xfId="0" applyNumberFormat="1" applyFont="1" applyFill="1" applyBorder="1" applyProtection="1">
      <protection locked="0"/>
    </xf>
    <xf numFmtId="10" fontId="7" fillId="2" borderId="15" xfId="0" applyNumberFormat="1" applyFont="1" applyFill="1" applyBorder="1" applyProtection="1">
      <protection locked="0"/>
    </xf>
    <xf numFmtId="168" fontId="7" fillId="0" borderId="0" xfId="0" applyNumberFormat="1" applyFont="1" applyProtection="1">
      <protection locked="0"/>
    </xf>
    <xf numFmtId="10" fontId="0" fillId="0" borderId="0" xfId="0" applyNumberFormat="1" applyFont="1" applyProtection="1">
      <protection locked="0"/>
    </xf>
    <xf numFmtId="10" fontId="7" fillId="0" borderId="0" xfId="0" applyNumberFormat="1" applyFont="1" applyProtection="1">
      <protection locked="0"/>
    </xf>
    <xf numFmtId="0" fontId="7" fillId="4" borderId="0" xfId="0" applyFont="1" applyFill="1" applyProtection="1">
      <protection locked="0"/>
    </xf>
    <xf numFmtId="0" fontId="7" fillId="5" borderId="0" xfId="0" applyFont="1" applyFill="1" applyProtection="1">
      <protection locked="0"/>
    </xf>
    <xf numFmtId="0" fontId="7" fillId="4" borderId="10" xfId="0" applyFont="1" applyFill="1" applyBorder="1" applyProtection="1">
      <protection locked="0"/>
    </xf>
    <xf numFmtId="10" fontId="7" fillId="2" borderId="16" xfId="0" applyNumberFormat="1" applyFont="1" applyFill="1" applyBorder="1" applyProtection="1">
      <protection locked="0"/>
    </xf>
    <xf numFmtId="10" fontId="7" fillId="2" borderId="17" xfId="0" applyNumberFormat="1" applyFont="1" applyFill="1" applyBorder="1" applyProtection="1">
      <protection locked="0"/>
    </xf>
    <xf numFmtId="1" fontId="7" fillId="0" borderId="0" xfId="0" applyNumberFormat="1" applyFont="1" applyProtection="1">
      <protection locked="0"/>
    </xf>
    <xf numFmtId="0" fontId="6" fillId="0" borderId="0" xfId="0" applyFont="1" applyProtection="1">
      <protection locked="0"/>
    </xf>
    <xf numFmtId="0" fontId="7" fillId="2" borderId="7" xfId="0" applyFont="1" applyFill="1" applyBorder="1" applyProtection="1">
      <protection locked="0"/>
    </xf>
    <xf numFmtId="0" fontId="17" fillId="2" borderId="7" xfId="0" applyFont="1" applyFill="1" applyBorder="1" applyAlignment="1" applyProtection="1">
      <alignment horizontal="right"/>
      <protection locked="0"/>
    </xf>
    <xf numFmtId="0" fontId="17" fillId="0" borderId="0" xfId="0" applyFont="1" applyAlignment="1" applyProtection="1">
      <alignment horizontal="right"/>
      <protection locked="0"/>
    </xf>
    <xf numFmtId="0" fontId="17" fillId="2" borderId="0" xfId="0" applyFont="1" applyFill="1" applyProtection="1">
      <protection locked="0"/>
    </xf>
    <xf numFmtId="0" fontId="17" fillId="0" borderId="0" xfId="0" applyFont="1" applyProtection="1">
      <protection locked="0"/>
    </xf>
    <xf numFmtId="171" fontId="19" fillId="0" borderId="0" xfId="0" applyNumberFormat="1" applyFont="1" applyProtection="1">
      <protection locked="0"/>
    </xf>
    <xf numFmtId="172" fontId="19" fillId="2" borderId="0" xfId="0" applyNumberFormat="1" applyFont="1" applyFill="1" applyProtection="1">
      <protection locked="0"/>
    </xf>
    <xf numFmtId="0" fontId="9" fillId="2" borderId="0" xfId="0" applyFont="1" applyFill="1" applyProtection="1">
      <protection locked="0"/>
    </xf>
    <xf numFmtId="172" fontId="19" fillId="0" borderId="0" xfId="0" applyNumberFormat="1" applyFont="1" applyProtection="1">
      <protection locked="0"/>
    </xf>
    <xf numFmtId="173" fontId="19" fillId="0" borderId="0" xfId="0" applyNumberFormat="1" applyFont="1" applyProtection="1">
      <protection locked="0"/>
    </xf>
    <xf numFmtId="171" fontId="21" fillId="0" borderId="0" xfId="0" applyNumberFormat="1" applyFont="1" applyProtection="1">
      <protection locked="0"/>
    </xf>
    <xf numFmtId="173" fontId="21" fillId="0" borderId="0" xfId="0" applyNumberFormat="1" applyFont="1" applyProtection="1">
      <protection locked="0"/>
    </xf>
    <xf numFmtId="10" fontId="19" fillId="0" borderId="0" xfId="6" applyNumberFormat="1" applyFont="1" applyProtection="1">
      <protection locked="0"/>
    </xf>
    <xf numFmtId="167" fontId="7" fillId="0" borderId="0" xfId="6" applyNumberFormat="1" applyFont="1" applyProtection="1">
      <protection locked="0"/>
    </xf>
    <xf numFmtId="0" fontId="14" fillId="0" borderId="0" xfId="0" applyFont="1" applyProtection="1">
      <protection locked="0"/>
    </xf>
    <xf numFmtId="0" fontId="12" fillId="0" borderId="0" xfId="0" applyFont="1" applyProtection="1">
      <protection locked="0"/>
    </xf>
    <xf numFmtId="0" fontId="7" fillId="0" borderId="0" xfId="0" applyFont="1" applyAlignment="1" applyProtection="1">
      <alignment horizontal="center"/>
    </xf>
    <xf numFmtId="9" fontId="11" fillId="0" borderId="0" xfId="6" applyFont="1" applyAlignment="1" applyProtection="1">
      <alignment horizontal="center"/>
    </xf>
    <xf numFmtId="0" fontId="7" fillId="2" borderId="8" xfId="0" applyFont="1" applyFill="1" applyBorder="1" applyProtection="1"/>
    <xf numFmtId="0" fontId="7" fillId="2" borderId="8" xfId="0" applyFont="1" applyFill="1" applyBorder="1" applyAlignment="1" applyProtection="1">
      <alignment horizontal="left"/>
    </xf>
    <xf numFmtId="0" fontId="7" fillId="2" borderId="13" xfId="0" applyFont="1" applyFill="1" applyBorder="1" applyProtection="1"/>
    <xf numFmtId="0" fontId="7" fillId="2" borderId="1" xfId="0" applyFont="1" applyFill="1" applyBorder="1" applyProtection="1"/>
    <xf numFmtId="0" fontId="7" fillId="2" borderId="3" xfId="0" applyFont="1" applyFill="1" applyBorder="1" applyProtection="1"/>
    <xf numFmtId="0" fontId="18" fillId="2" borderId="8" xfId="0" applyFont="1" applyFill="1" applyBorder="1" applyProtection="1"/>
    <xf numFmtId="0" fontId="0" fillId="2" borderId="8" xfId="0" applyFont="1" applyFill="1" applyBorder="1" applyProtection="1"/>
    <xf numFmtId="0" fontId="20" fillId="2" borderId="8" xfId="0" applyFont="1" applyFill="1" applyBorder="1" applyProtection="1"/>
    <xf numFmtId="0" fontId="0" fillId="2" borderId="13" xfId="0" applyFont="1" applyFill="1" applyBorder="1" applyProtection="1"/>
    <xf numFmtId="171" fontId="19" fillId="2" borderId="0" xfId="0" applyNumberFormat="1" applyFont="1" applyFill="1" applyProtection="1"/>
    <xf numFmtId="173" fontId="19" fillId="2" borderId="0" xfId="0" applyNumberFormat="1" applyFont="1" applyFill="1" applyProtection="1"/>
    <xf numFmtId="171" fontId="21" fillId="2" borderId="0" xfId="0" applyNumberFormat="1" applyFont="1" applyFill="1" applyProtection="1"/>
    <xf numFmtId="173" fontId="21" fillId="2" borderId="0" xfId="0" applyNumberFormat="1" applyFont="1" applyFill="1" applyProtection="1"/>
    <xf numFmtId="10" fontId="19" fillId="2" borderId="0" xfId="6" applyNumberFormat="1" applyFont="1" applyFill="1" applyProtection="1"/>
    <xf numFmtId="171" fontId="19" fillId="2" borderId="12" xfId="0" applyNumberFormat="1" applyFont="1" applyFill="1" applyBorder="1" applyProtection="1"/>
    <xf numFmtId="10" fontId="7" fillId="3" borderId="0" xfId="0" applyNumberFormat="1" applyFont="1" applyFill="1" applyProtection="1"/>
    <xf numFmtId="10" fontId="7" fillId="2" borderId="8" xfId="0" applyNumberFormat="1" applyFont="1" applyFill="1" applyBorder="1" applyProtection="1"/>
    <xf numFmtId="10" fontId="7" fillId="2" borderId="0" xfId="0" applyNumberFormat="1" applyFont="1" applyFill="1" applyProtection="1"/>
    <xf numFmtId="10" fontId="7" fillId="2" borderId="9" xfId="0" applyNumberFormat="1" applyFont="1" applyFill="1" applyBorder="1" applyProtection="1"/>
    <xf numFmtId="10" fontId="7" fillId="3" borderId="18" xfId="0" applyNumberFormat="1" applyFont="1" applyFill="1" applyBorder="1" applyProtection="1"/>
    <xf numFmtId="10" fontId="7" fillId="2" borderId="19" xfId="0" applyNumberFormat="1" applyFont="1" applyFill="1" applyBorder="1" applyProtection="1"/>
    <xf numFmtId="10" fontId="7" fillId="2" borderId="18" xfId="0" applyNumberFormat="1" applyFont="1" applyFill="1" applyBorder="1" applyProtection="1"/>
    <xf numFmtId="10" fontId="7" fillId="2" borderId="20" xfId="0" applyNumberFormat="1" applyFont="1" applyFill="1" applyBorder="1" applyProtection="1"/>
    <xf numFmtId="10" fontId="7" fillId="3" borderId="12" xfId="0" applyNumberFormat="1" applyFont="1" applyFill="1" applyBorder="1" applyProtection="1"/>
    <xf numFmtId="10" fontId="7" fillId="2" borderId="13" xfId="0" applyNumberFormat="1" applyFont="1" applyFill="1" applyBorder="1" applyProtection="1"/>
    <xf numFmtId="10" fontId="7" fillId="2" borderId="12" xfId="0" applyNumberFormat="1" applyFont="1" applyFill="1" applyBorder="1" applyProtection="1"/>
    <xf numFmtId="10" fontId="7" fillId="2" borderId="14" xfId="0" applyNumberFormat="1" applyFont="1" applyFill="1" applyBorder="1" applyProtection="1"/>
    <xf numFmtId="10" fontId="7" fillId="3" borderId="10" xfId="0" applyNumberFormat="1" applyFont="1" applyFill="1" applyBorder="1" applyProtection="1"/>
    <xf numFmtId="10" fontId="7" fillId="3" borderId="11" xfId="0" applyNumberFormat="1" applyFont="1" applyFill="1" applyBorder="1" applyProtection="1"/>
    <xf numFmtId="10" fontId="7" fillId="3" borderId="21" xfId="0" applyNumberFormat="1" applyFont="1" applyFill="1" applyBorder="1" applyProtection="1"/>
    <xf numFmtId="10" fontId="7" fillId="2" borderId="22" xfId="0" applyNumberFormat="1" applyFont="1" applyFill="1" applyBorder="1" applyProtection="1"/>
    <xf numFmtId="10" fontId="7" fillId="2" borderId="23" xfId="0" applyNumberFormat="1" applyFont="1" applyFill="1" applyBorder="1" applyProtection="1"/>
    <xf numFmtId="10" fontId="7" fillId="3" borderId="24" xfId="0" applyNumberFormat="1" applyFont="1" applyFill="1" applyBorder="1" applyProtection="1"/>
    <xf numFmtId="10" fontId="7" fillId="2" borderId="25" xfId="0" applyNumberFormat="1" applyFont="1" applyFill="1" applyBorder="1" applyProtection="1"/>
    <xf numFmtId="10" fontId="7" fillId="2" borderId="24" xfId="0" applyNumberFormat="1" applyFont="1" applyFill="1" applyBorder="1" applyProtection="1"/>
    <xf numFmtId="10" fontId="7" fillId="4" borderId="0" xfId="0" applyNumberFormat="1" applyFont="1" applyFill="1" applyProtection="1"/>
    <xf numFmtId="10" fontId="7" fillId="4" borderId="10" xfId="0" applyNumberFormat="1" applyFont="1" applyFill="1" applyBorder="1" applyProtection="1"/>
    <xf numFmtId="10" fontId="7" fillId="4" borderId="18" xfId="0" applyNumberFormat="1" applyFont="1" applyFill="1" applyBorder="1" applyProtection="1"/>
    <xf numFmtId="10" fontId="7" fillId="4" borderId="11" xfId="0" applyNumberFormat="1" applyFont="1" applyFill="1" applyBorder="1" applyProtection="1"/>
    <xf numFmtId="10" fontId="7" fillId="4" borderId="21" xfId="0" applyNumberFormat="1" applyFont="1" applyFill="1" applyBorder="1" applyProtection="1"/>
    <xf numFmtId="10" fontId="7" fillId="4" borderId="26" xfId="0" applyNumberFormat="1" applyFont="1" applyFill="1" applyBorder="1" applyProtection="1"/>
    <xf numFmtId="10" fontId="7" fillId="4" borderId="24" xfId="0" applyNumberFormat="1" applyFont="1" applyFill="1" applyBorder="1" applyProtection="1"/>
    <xf numFmtId="10" fontId="7" fillId="4" borderId="17" xfId="0" applyNumberFormat="1" applyFont="1" applyFill="1" applyBorder="1" applyProtection="1"/>
    <xf numFmtId="10" fontId="7" fillId="4" borderId="12" xfId="0" applyNumberFormat="1" applyFont="1" applyFill="1" applyBorder="1" applyProtection="1"/>
    <xf numFmtId="10" fontId="7" fillId="4" borderId="15" xfId="0" applyNumberFormat="1" applyFont="1" applyFill="1" applyBorder="1" applyProtection="1"/>
    <xf numFmtId="0" fontId="0" fillId="0" borderId="0" xfId="0" applyProtection="1"/>
    <xf numFmtId="0" fontId="0" fillId="0" borderId="0" xfId="5" applyFont="1" applyProtection="1"/>
    <xf numFmtId="0" fontId="0" fillId="0" borderId="0" xfId="5" applyFont="1" applyBorder="1" applyProtection="1"/>
    <xf numFmtId="0" fontId="0" fillId="0" borderId="0" xfId="5" applyFont="1" applyBorder="1" applyAlignment="1" applyProtection="1">
      <alignment horizontal="center"/>
    </xf>
    <xf numFmtId="0" fontId="22" fillId="0" borderId="27" xfId="5" applyFont="1" applyBorder="1" applyProtection="1"/>
    <xf numFmtId="0" fontId="0" fillId="0" borderId="28" xfId="5" applyFont="1" applyBorder="1" applyProtection="1"/>
    <xf numFmtId="0" fontId="19" fillId="6" borderId="0" xfId="5" applyFont="1" applyFill="1" applyAlignment="1" applyProtection="1">
      <alignment horizontal="center"/>
    </xf>
    <xf numFmtId="0" fontId="19" fillId="0" borderId="0" xfId="5" applyFont="1" applyBorder="1" applyAlignment="1" applyProtection="1">
      <alignment horizontal="center"/>
    </xf>
    <xf numFmtId="0" fontId="24" fillId="0" borderId="29" xfId="5" applyFont="1" applyBorder="1" applyProtection="1"/>
    <xf numFmtId="0" fontId="0" fillId="0" borderId="30" xfId="5" applyFont="1" applyBorder="1" applyProtection="1"/>
    <xf numFmtId="10" fontId="24" fillId="6" borderId="0" xfId="5" applyNumberFormat="1" applyFont="1" applyFill="1" applyAlignment="1" applyProtection="1">
      <alignment horizontal="center"/>
    </xf>
    <xf numFmtId="0" fontId="0" fillId="0" borderId="0" xfId="5" applyFont="1" applyAlignment="1" applyProtection="1">
      <alignment horizontal="center"/>
    </xf>
    <xf numFmtId="0" fontId="5" fillId="0" borderId="31" xfId="5" applyFont="1" applyBorder="1" applyProtection="1"/>
    <xf numFmtId="0" fontId="0" fillId="0" borderId="32" xfId="5" applyFont="1" applyBorder="1" applyProtection="1"/>
    <xf numFmtId="10" fontId="5" fillId="6" borderId="0" xfId="5" applyNumberFormat="1" applyFont="1" applyFill="1" applyAlignment="1" applyProtection="1">
      <alignment horizontal="center"/>
    </xf>
    <xf numFmtId="0" fontId="19" fillId="7" borderId="0" xfId="5" applyFont="1" applyFill="1" applyAlignment="1" applyProtection="1">
      <alignment horizontal="right"/>
    </xf>
    <xf numFmtId="0" fontId="19" fillId="0" borderId="0" xfId="5" applyFont="1" applyAlignment="1" applyProtection="1">
      <alignment horizontal="center"/>
    </xf>
    <xf numFmtId="0" fontId="19" fillId="7" borderId="0" xfId="5" applyFont="1" applyFill="1" applyAlignment="1" applyProtection="1">
      <alignment horizontal="left"/>
    </xf>
    <xf numFmtId="0" fontId="19" fillId="7" borderId="0" xfId="5" applyFont="1" applyFill="1" applyAlignment="1" applyProtection="1">
      <alignment horizontal="center"/>
    </xf>
    <xf numFmtId="10" fontId="24" fillId="7" borderId="0" xfId="5" applyNumberFormat="1" applyFont="1" applyFill="1" applyAlignment="1" applyProtection="1">
      <alignment horizontal="center"/>
    </xf>
    <xf numFmtId="10" fontId="24" fillId="0" borderId="0" xfId="5" applyNumberFormat="1" applyFont="1" applyAlignment="1" applyProtection="1">
      <alignment horizontal="center"/>
    </xf>
    <xf numFmtId="167" fontId="27" fillId="0" borderId="0" xfId="5" applyNumberFormat="1" applyFont="1" applyAlignment="1" applyProtection="1">
      <alignment horizontal="center"/>
    </xf>
    <xf numFmtId="10" fontId="5" fillId="7" borderId="0" xfId="5" applyNumberFormat="1" applyFont="1" applyFill="1" applyAlignment="1" applyProtection="1">
      <alignment horizontal="center"/>
    </xf>
    <xf numFmtId="10" fontId="26" fillId="0" borderId="0" xfId="5" applyNumberFormat="1" applyFont="1" applyAlignment="1" applyProtection="1">
      <alignment horizontal="center"/>
    </xf>
    <xf numFmtId="167" fontId="19" fillId="0" borderId="0" xfId="5" applyNumberFormat="1" applyFont="1" applyBorder="1" applyAlignment="1" applyProtection="1">
      <alignment horizontal="center"/>
    </xf>
    <xf numFmtId="167" fontId="0" fillId="0" borderId="0" xfId="5" applyNumberFormat="1" applyFont="1" applyAlignment="1" applyProtection="1">
      <alignment horizontal="center"/>
    </xf>
    <xf numFmtId="0" fontId="19" fillId="8" borderId="0" xfId="5" applyFont="1" applyFill="1" applyAlignment="1" applyProtection="1">
      <alignment horizontal="center"/>
    </xf>
    <xf numFmtId="0" fontId="19" fillId="8" borderId="0" xfId="5" applyFont="1" applyFill="1" applyProtection="1"/>
    <xf numFmtId="0" fontId="19" fillId="0" borderId="0" xfId="5" applyFont="1" applyProtection="1"/>
    <xf numFmtId="170" fontId="24" fillId="8" borderId="0" xfId="6" applyNumberFormat="1" applyFont="1" applyFill="1" applyAlignment="1" applyProtection="1">
      <alignment horizontal="center"/>
    </xf>
    <xf numFmtId="170" fontId="19" fillId="0" borderId="0" xfId="5" applyNumberFormat="1" applyFont="1" applyProtection="1"/>
    <xf numFmtId="170" fontId="24" fillId="0" borderId="0" xfId="6" applyNumberFormat="1" applyFont="1" applyAlignment="1" applyProtection="1">
      <alignment horizontal="center"/>
    </xf>
    <xf numFmtId="170" fontId="19" fillId="0" borderId="0" xfId="5" applyNumberFormat="1" applyFont="1" applyBorder="1" applyProtection="1"/>
    <xf numFmtId="170" fontId="5" fillId="0" borderId="0" xfId="1" applyNumberFormat="1" applyFont="1" applyProtection="1"/>
    <xf numFmtId="170" fontId="19" fillId="0" borderId="0" xfId="5" applyNumberFormat="1" applyFont="1" applyAlignment="1" applyProtection="1">
      <alignment horizontal="center"/>
    </xf>
    <xf numFmtId="170" fontId="26" fillId="8" borderId="0" xfId="6" applyNumberFormat="1" applyFont="1" applyFill="1" applyAlignment="1" applyProtection="1">
      <alignment horizontal="center"/>
    </xf>
    <xf numFmtId="170" fontId="19" fillId="0" borderId="0" xfId="6" applyNumberFormat="1" applyFont="1" applyAlignment="1" applyProtection="1">
      <alignment horizontal="center"/>
    </xf>
    <xf numFmtId="170" fontId="26" fillId="0" borderId="0" xfId="6" applyNumberFormat="1" applyFont="1" applyAlignment="1" applyProtection="1">
      <alignment horizontal="center"/>
    </xf>
    <xf numFmtId="170" fontId="19" fillId="0" borderId="0" xfId="6" applyNumberFormat="1" applyFont="1" applyBorder="1" applyAlignment="1" applyProtection="1">
      <alignment horizontal="center"/>
    </xf>
    <xf numFmtId="0" fontId="19" fillId="9" borderId="33" xfId="5" applyFont="1" applyFill="1" applyBorder="1" applyAlignment="1" applyProtection="1">
      <alignment horizontal="center"/>
    </xf>
    <xf numFmtId="0" fontId="19" fillId="9" borderId="0" xfId="5" applyFont="1" applyFill="1" applyAlignment="1" applyProtection="1">
      <alignment horizontal="center"/>
    </xf>
    <xf numFmtId="0" fontId="19" fillId="9" borderId="34" xfId="5" applyFont="1" applyFill="1" applyBorder="1" applyAlignment="1" applyProtection="1">
      <alignment horizontal="center"/>
    </xf>
    <xf numFmtId="0" fontId="28" fillId="9" borderId="33" xfId="5" applyFont="1" applyFill="1" applyBorder="1" applyAlignment="1" applyProtection="1">
      <alignment horizontal="center" wrapText="1"/>
    </xf>
    <xf numFmtId="0" fontId="19" fillId="9" borderId="33" xfId="5" applyFont="1" applyFill="1" applyBorder="1" applyAlignment="1" applyProtection="1">
      <alignment horizontal="center" wrapText="1"/>
    </xf>
    <xf numFmtId="10" fontId="24" fillId="9" borderId="33" xfId="6" applyNumberFormat="1" applyFont="1" applyFill="1" applyBorder="1" applyAlignment="1" applyProtection="1">
      <alignment horizontal="center"/>
    </xf>
    <xf numFmtId="9" fontId="24" fillId="9" borderId="33" xfId="6" applyFont="1" applyFill="1" applyBorder="1" applyAlignment="1" applyProtection="1">
      <alignment horizontal="center"/>
    </xf>
    <xf numFmtId="167" fontId="24" fillId="0" borderId="0" xfId="6" applyNumberFormat="1" applyFont="1" applyAlignment="1" applyProtection="1">
      <alignment horizontal="center"/>
    </xf>
    <xf numFmtId="10" fontId="5" fillId="9" borderId="33" xfId="6" applyNumberFormat="1" applyFont="1" applyFill="1" applyBorder="1" applyAlignment="1" applyProtection="1">
      <alignment horizontal="center"/>
    </xf>
    <xf numFmtId="9" fontId="5" fillId="9" borderId="33" xfId="6" applyFont="1" applyFill="1" applyBorder="1" applyAlignment="1" applyProtection="1">
      <alignment horizontal="center"/>
    </xf>
    <xf numFmtId="167" fontId="26" fillId="0" borderId="0" xfId="6" applyNumberFormat="1" applyFont="1" applyAlignment="1" applyProtection="1">
      <alignment horizontal="center"/>
    </xf>
    <xf numFmtId="0" fontId="19" fillId="0" borderId="35" xfId="5" applyFont="1" applyBorder="1" applyAlignment="1" applyProtection="1">
      <alignment horizontal="center"/>
    </xf>
    <xf numFmtId="167" fontId="24" fillId="0" borderId="35" xfId="6" applyNumberFormat="1" applyFont="1" applyBorder="1" applyAlignment="1" applyProtection="1">
      <alignment horizontal="center"/>
    </xf>
    <xf numFmtId="0" fontId="19" fillId="10" borderId="0" xfId="5" applyFont="1" applyFill="1" applyAlignment="1" applyProtection="1">
      <alignment horizontal="center"/>
    </xf>
    <xf numFmtId="0" fontId="19" fillId="10" borderId="35" xfId="5" applyFont="1" applyFill="1" applyBorder="1" applyAlignment="1" applyProtection="1">
      <alignment horizontal="center"/>
    </xf>
    <xf numFmtId="0" fontId="19" fillId="10" borderId="36" xfId="5" applyFont="1" applyFill="1" applyBorder="1" applyAlignment="1" applyProtection="1">
      <alignment horizontal="center"/>
    </xf>
    <xf numFmtId="0" fontId="19" fillId="10" borderId="33" xfId="5" applyFont="1" applyFill="1" applyBorder="1" applyAlignment="1" applyProtection="1">
      <alignment horizontal="center"/>
    </xf>
    <xf numFmtId="175" fontId="27" fillId="0" borderId="0" xfId="1" applyNumberFormat="1" applyFont="1" applyProtection="1"/>
    <xf numFmtId="9" fontId="5" fillId="0" borderId="0" xfId="6" applyFont="1" applyAlignment="1" applyProtection="1">
      <alignment horizontal="left"/>
    </xf>
    <xf numFmtId="167" fontId="26" fillId="0" borderId="35" xfId="6" applyNumberFormat="1" applyFont="1" applyBorder="1" applyAlignment="1" applyProtection="1">
      <alignment horizontal="center"/>
    </xf>
    <xf numFmtId="176" fontId="24" fillId="10" borderId="0" xfId="4" applyNumberFormat="1" applyFont="1" applyFill="1" applyAlignment="1" applyProtection="1">
      <alignment horizontal="center"/>
    </xf>
    <xf numFmtId="176" fontId="24" fillId="10" borderId="35" xfId="4" applyNumberFormat="1" applyFont="1" applyFill="1" applyBorder="1" applyAlignment="1" applyProtection="1">
      <alignment horizontal="center"/>
    </xf>
    <xf numFmtId="176" fontId="24" fillId="10" borderId="36" xfId="4" applyNumberFormat="1" applyFont="1" applyFill="1" applyBorder="1" applyAlignment="1" applyProtection="1">
      <alignment horizontal="center"/>
    </xf>
    <xf numFmtId="175" fontId="0" fillId="0" borderId="0" xfId="1" applyNumberFormat="1" applyFont="1" applyProtection="1"/>
    <xf numFmtId="9" fontId="19" fillId="0" borderId="0" xfId="6" applyFont="1" applyAlignment="1" applyProtection="1">
      <alignment horizontal="left"/>
    </xf>
    <xf numFmtId="175" fontId="0" fillId="0" borderId="0" xfId="1" applyNumberFormat="1" applyFont="1" applyBorder="1" applyProtection="1"/>
    <xf numFmtId="176" fontId="5" fillId="10" borderId="0" xfId="4" applyNumberFormat="1" applyFont="1" applyFill="1" applyAlignment="1" applyProtection="1">
      <alignment horizontal="center"/>
    </xf>
    <xf numFmtId="176" fontId="5" fillId="10" borderId="35" xfId="4" applyNumberFormat="1" applyFont="1" applyFill="1" applyBorder="1" applyAlignment="1" applyProtection="1">
      <alignment horizontal="center"/>
    </xf>
    <xf numFmtId="176" fontId="5" fillId="10" borderId="36" xfId="4" applyNumberFormat="1" applyFont="1" applyFill="1" applyBorder="1" applyAlignment="1" applyProtection="1">
      <alignment horizontal="center"/>
    </xf>
    <xf numFmtId="10" fontId="24" fillId="10" borderId="33" xfId="4" applyNumberFormat="1" applyFont="1" applyFill="1" applyBorder="1" applyAlignment="1" applyProtection="1">
      <alignment horizontal="center"/>
    </xf>
    <xf numFmtId="10" fontId="5" fillId="10" borderId="33" xfId="4" applyNumberFormat="1" applyFont="1" applyFill="1" applyBorder="1" applyAlignment="1" applyProtection="1">
      <alignment horizontal="center"/>
    </xf>
    <xf numFmtId="1" fontId="0" fillId="0" borderId="0" xfId="5" applyNumberFormat="1" applyFont="1" applyAlignment="1" applyProtection="1">
      <alignment horizontal="center"/>
    </xf>
    <xf numFmtId="1" fontId="27" fillId="0" borderId="0" xfId="5" applyNumberFormat="1" applyFont="1" applyAlignment="1" applyProtection="1">
      <alignment horizontal="center"/>
    </xf>
    <xf numFmtId="0" fontId="1" fillId="0" borderId="0" xfId="5" applyAlignment="1" applyProtection="1">
      <alignment horizontal="center"/>
    </xf>
    <xf numFmtId="0" fontId="0" fillId="2" borderId="8" xfId="0" applyFill="1" applyBorder="1" applyProtection="1"/>
    <xf numFmtId="0" fontId="7" fillId="0" borderId="0" xfId="0" applyFont="1" applyBorder="1" applyAlignment="1" applyProtection="1">
      <alignment horizontal="center"/>
    </xf>
    <xf numFmtId="9" fontId="11" fillId="0" borderId="0" xfId="6" applyFont="1" applyBorder="1" applyAlignment="1" applyProtection="1">
      <alignment horizontal="center"/>
    </xf>
    <xf numFmtId="10" fontId="13" fillId="3" borderId="7" xfId="0" applyNumberFormat="1" applyFont="1" applyFill="1" applyBorder="1" applyAlignment="1" applyProtection="1"/>
    <xf numFmtId="10" fontId="13" fillId="3" borderId="37" xfId="0" applyNumberFormat="1" applyFont="1" applyFill="1" applyBorder="1" applyAlignment="1" applyProtection="1"/>
    <xf numFmtId="10" fontId="14" fillId="2" borderId="38" xfId="0" applyNumberFormat="1" applyFont="1" applyFill="1" applyBorder="1" applyAlignment="1" applyProtection="1"/>
    <xf numFmtId="10" fontId="14" fillId="2" borderId="7" xfId="0" applyNumberFormat="1" applyFont="1" applyFill="1" applyBorder="1" applyAlignment="1" applyProtection="1"/>
    <xf numFmtId="10" fontId="14" fillId="2" borderId="37" xfId="0" applyNumberFormat="1" applyFont="1" applyFill="1" applyBorder="1" applyAlignment="1" applyProtection="1"/>
    <xf numFmtId="10" fontId="7" fillId="0" borderId="39" xfId="0" applyNumberFormat="1" applyFont="1" applyBorder="1" applyProtection="1">
      <protection locked="0"/>
    </xf>
    <xf numFmtId="0" fontId="13" fillId="3" borderId="40" xfId="0" applyFont="1" applyFill="1" applyBorder="1" applyAlignment="1" applyProtection="1"/>
    <xf numFmtId="10" fontId="7" fillId="3" borderId="0" xfId="0" applyNumberFormat="1" applyFont="1" applyFill="1" applyBorder="1" applyProtection="1"/>
    <xf numFmtId="0" fontId="13" fillId="3" borderId="41" xfId="0" applyFont="1" applyFill="1" applyBorder="1" applyAlignment="1" applyProtection="1"/>
    <xf numFmtId="0" fontId="14" fillId="2" borderId="42" xfId="0" applyFont="1" applyFill="1" applyBorder="1" applyAlignment="1" applyProtection="1"/>
    <xf numFmtId="0" fontId="14" fillId="2" borderId="40" xfId="0" applyFont="1" applyFill="1" applyBorder="1" applyAlignment="1" applyProtection="1"/>
    <xf numFmtId="0" fontId="14" fillId="2" borderId="41" xfId="0" applyFont="1" applyFill="1" applyBorder="1" applyAlignment="1" applyProtection="1"/>
    <xf numFmtId="0" fontId="14" fillId="2" borderId="43" xfId="0" applyFont="1" applyFill="1" applyBorder="1" applyAlignment="1" applyProtection="1"/>
    <xf numFmtId="0" fontId="13" fillId="4" borderId="38" xfId="0" applyFont="1" applyFill="1" applyBorder="1" applyAlignment="1" applyProtection="1"/>
    <xf numFmtId="0" fontId="13" fillId="4" borderId="7" xfId="0" applyFont="1" applyFill="1" applyBorder="1" applyAlignment="1" applyProtection="1"/>
    <xf numFmtId="0" fontId="13" fillId="4" borderId="37" xfId="0" applyFont="1" applyFill="1" applyBorder="1" applyAlignment="1" applyProtection="1"/>
    <xf numFmtId="164" fontId="7" fillId="2" borderId="40" xfId="0" applyNumberFormat="1" applyFont="1" applyFill="1" applyBorder="1" applyProtection="1"/>
    <xf numFmtId="8" fontId="7" fillId="2" borderId="40" xfId="2" applyNumberFormat="1" applyFont="1" applyFill="1" applyBorder="1" applyProtection="1"/>
    <xf numFmtId="8" fontId="7" fillId="2" borderId="44" xfId="2" applyNumberFormat="1" applyFont="1" applyFill="1" applyBorder="1" applyProtection="1"/>
    <xf numFmtId="8" fontId="7" fillId="0" borderId="0" xfId="2" applyNumberFormat="1" applyFont="1" applyProtection="1">
      <protection locked="0"/>
    </xf>
    <xf numFmtId="164" fontId="7" fillId="2" borderId="45" xfId="0" applyNumberFormat="1" applyFont="1" applyFill="1" applyBorder="1" applyProtection="1"/>
    <xf numFmtId="3" fontId="7" fillId="2" borderId="4" xfId="0" applyNumberFormat="1" applyFont="1" applyFill="1" applyBorder="1" applyProtection="1"/>
    <xf numFmtId="3" fontId="7" fillId="2" borderId="5" xfId="0" applyNumberFormat="1" applyFont="1" applyFill="1" applyBorder="1" applyProtection="1"/>
    <xf numFmtId="3" fontId="7" fillId="0" borderId="0" xfId="0" applyNumberFormat="1" applyFont="1" applyProtection="1">
      <protection locked="0"/>
    </xf>
    <xf numFmtId="3" fontId="7" fillId="2" borderId="46" xfId="0" applyNumberFormat="1" applyFont="1" applyFill="1" applyBorder="1" applyProtection="1"/>
    <xf numFmtId="0" fontId="37" fillId="2" borderId="46" xfId="0" applyFont="1" applyFill="1" applyBorder="1" applyAlignment="1" applyProtection="1">
      <alignment horizontal="center"/>
    </xf>
    <xf numFmtId="0" fontId="37" fillId="2" borderId="4" xfId="0" applyFont="1" applyFill="1" applyBorder="1" applyAlignment="1" applyProtection="1">
      <alignment horizontal="center"/>
    </xf>
    <xf numFmtId="0" fontId="37" fillId="2" borderId="5" xfId="0" applyFont="1" applyFill="1" applyBorder="1" applyAlignment="1" applyProtection="1">
      <alignment horizontal="center"/>
    </xf>
    <xf numFmtId="0" fontId="35" fillId="2" borderId="46" xfId="0" applyFont="1" applyFill="1" applyBorder="1" applyAlignment="1" applyProtection="1">
      <alignment horizontal="center"/>
    </xf>
    <xf numFmtId="0" fontId="35" fillId="2" borderId="4" xfId="0" applyFont="1" applyFill="1" applyBorder="1" applyAlignment="1" applyProtection="1">
      <alignment horizontal="center"/>
    </xf>
    <xf numFmtId="0" fontId="35" fillId="2" borderId="5" xfId="0" applyFont="1" applyFill="1" applyBorder="1" applyAlignment="1" applyProtection="1">
      <alignment horizontal="center"/>
    </xf>
    <xf numFmtId="0" fontId="10" fillId="2" borderId="47" xfId="0" applyFont="1" applyFill="1" applyBorder="1" applyAlignment="1" applyProtection="1">
      <alignment vertical="center"/>
    </xf>
    <xf numFmtId="0" fontId="10" fillId="2" borderId="0" xfId="0" applyFont="1" applyFill="1" applyBorder="1" applyAlignment="1" applyProtection="1">
      <alignment vertical="center"/>
    </xf>
    <xf numFmtId="0" fontId="10" fillId="2" borderId="2" xfId="0" applyFont="1" applyFill="1" applyBorder="1" applyAlignment="1" applyProtection="1">
      <alignment vertical="center"/>
    </xf>
    <xf numFmtId="0" fontId="36" fillId="0" borderId="0" xfId="0" applyFont="1" applyAlignment="1" applyProtection="1">
      <alignment horizontal="center"/>
    </xf>
    <xf numFmtId="0" fontId="31" fillId="3" borderId="46" xfId="0" applyFont="1" applyFill="1" applyBorder="1" applyAlignment="1" applyProtection="1">
      <alignment horizontal="center"/>
    </xf>
    <xf numFmtId="0" fontId="31" fillId="3" borderId="4" xfId="0" applyFont="1" applyFill="1" applyBorder="1" applyAlignment="1" applyProtection="1">
      <alignment horizontal="center"/>
    </xf>
    <xf numFmtId="0" fontId="31" fillId="3" borderId="5" xfId="0" applyFont="1" applyFill="1" applyBorder="1" applyAlignment="1" applyProtection="1">
      <alignment horizontal="center"/>
    </xf>
    <xf numFmtId="0" fontId="35" fillId="3" borderId="46" xfId="0" applyFont="1" applyFill="1" applyBorder="1" applyAlignment="1" applyProtection="1">
      <alignment horizontal="center"/>
    </xf>
    <xf numFmtId="0" fontId="35" fillId="3" borderId="4" xfId="0" applyFont="1" applyFill="1" applyBorder="1" applyAlignment="1" applyProtection="1">
      <alignment horizontal="center"/>
    </xf>
    <xf numFmtId="0" fontId="35" fillId="3" borderId="5" xfId="0" applyFont="1" applyFill="1" applyBorder="1" applyAlignment="1" applyProtection="1">
      <alignment horizontal="center"/>
    </xf>
    <xf numFmtId="0" fontId="31" fillId="2" borderId="46" xfId="0" applyFont="1" applyFill="1" applyBorder="1" applyAlignment="1" applyProtection="1">
      <alignment horizontal="center"/>
    </xf>
    <xf numFmtId="0" fontId="31" fillId="2" borderId="4" xfId="0" applyFont="1" applyFill="1" applyBorder="1" applyAlignment="1" applyProtection="1">
      <alignment horizontal="center"/>
    </xf>
    <xf numFmtId="0" fontId="31" fillId="2" borderId="5" xfId="0" applyFont="1" applyFill="1" applyBorder="1" applyAlignment="1" applyProtection="1">
      <alignment horizontal="center"/>
    </xf>
    <xf numFmtId="0" fontId="31" fillId="5" borderId="46" xfId="0" applyFont="1" applyFill="1" applyBorder="1" applyAlignment="1" applyProtection="1">
      <alignment horizontal="center"/>
    </xf>
    <xf numFmtId="0" fontId="31" fillId="5" borderId="4" xfId="0" applyFont="1" applyFill="1" applyBorder="1" applyAlignment="1" applyProtection="1">
      <alignment horizontal="center"/>
    </xf>
    <xf numFmtId="0" fontId="31" fillId="5" borderId="5" xfId="0" applyFont="1" applyFill="1" applyBorder="1" applyAlignment="1" applyProtection="1">
      <alignment horizontal="center"/>
    </xf>
    <xf numFmtId="0" fontId="35" fillId="5" borderId="46" xfId="0" applyFont="1" applyFill="1" applyBorder="1" applyAlignment="1" applyProtection="1">
      <alignment horizontal="center"/>
    </xf>
    <xf numFmtId="0" fontId="35" fillId="5" borderId="4" xfId="0" applyFont="1" applyFill="1" applyBorder="1" applyAlignment="1" applyProtection="1">
      <alignment horizontal="center"/>
    </xf>
    <xf numFmtId="0" fontId="35" fillId="5" borderId="5" xfId="0" applyFont="1" applyFill="1" applyBorder="1" applyAlignment="1" applyProtection="1">
      <alignment horizontal="center"/>
    </xf>
    <xf numFmtId="0" fontId="29" fillId="2" borderId="47" xfId="0" applyFont="1" applyFill="1" applyBorder="1" applyAlignment="1" applyProtection="1">
      <alignment vertical="center"/>
    </xf>
    <xf numFmtId="0" fontId="0" fillId="2" borderId="0" xfId="0" applyFill="1" applyAlignment="1">
      <alignment vertical="center"/>
    </xf>
    <xf numFmtId="0" fontId="0" fillId="2" borderId="2" xfId="0" applyFill="1" applyBorder="1" applyAlignment="1">
      <alignment vertical="center"/>
    </xf>
    <xf numFmtId="0" fontId="38" fillId="2" borderId="46" xfId="0" applyFont="1" applyFill="1" applyBorder="1" applyAlignment="1">
      <alignment horizontal="center"/>
    </xf>
    <xf numFmtId="0" fontId="38" fillId="2" borderId="4" xfId="0" applyFont="1" applyFill="1" applyBorder="1" applyAlignment="1">
      <alignment horizontal="center"/>
    </xf>
    <xf numFmtId="0" fontId="38" fillId="2" borderId="5" xfId="0" applyFont="1" applyFill="1" applyBorder="1" applyAlignment="1">
      <alignment horizontal="center"/>
    </xf>
    <xf numFmtId="0" fontId="39" fillId="2" borderId="47" xfId="0" applyFont="1" applyFill="1" applyBorder="1" applyAlignment="1" applyProtection="1"/>
    <xf numFmtId="0" fontId="39" fillId="2" borderId="0" xfId="0" applyFont="1" applyFill="1" applyBorder="1" applyAlignment="1" applyProtection="1"/>
    <xf numFmtId="0" fontId="39" fillId="2" borderId="2" xfId="0" applyFont="1" applyFill="1" applyBorder="1" applyAlignment="1" applyProtection="1"/>
    <xf numFmtId="0" fontId="12" fillId="2" borderId="47" xfId="0" applyFont="1" applyFill="1" applyBorder="1" applyAlignment="1" applyProtection="1">
      <alignment horizontal="center"/>
    </xf>
    <xf numFmtId="0" fontId="12" fillId="2" borderId="0" xfId="0" applyFont="1" applyFill="1" applyBorder="1" applyAlignment="1" applyProtection="1">
      <alignment horizontal="center"/>
    </xf>
    <xf numFmtId="0" fontId="12" fillId="2" borderId="2" xfId="0" applyFont="1" applyFill="1" applyBorder="1" applyAlignment="1" applyProtection="1">
      <alignment horizontal="center"/>
    </xf>
    <xf numFmtId="0" fontId="40" fillId="2" borderId="48" xfId="0" applyFont="1" applyFill="1" applyBorder="1" applyProtection="1"/>
    <xf numFmtId="0" fontId="41" fillId="2" borderId="8" xfId="0" applyFont="1" applyFill="1" applyBorder="1" applyProtection="1"/>
    <xf numFmtId="0" fontId="42" fillId="2" borderId="8" xfId="0" applyFont="1" applyFill="1" applyBorder="1" applyProtection="1"/>
    <xf numFmtId="0" fontId="7" fillId="0" borderId="49" xfId="0" applyFont="1" applyBorder="1" applyAlignment="1" applyProtection="1">
      <alignment horizontal="center"/>
      <protection locked="0"/>
    </xf>
    <xf numFmtId="166" fontId="7" fillId="0" borderId="50" xfId="0" applyNumberFormat="1" applyFont="1" applyBorder="1" applyProtection="1">
      <protection locked="0"/>
    </xf>
    <xf numFmtId="166" fontId="7" fillId="0" borderId="51" xfId="0" applyNumberFormat="1" applyFont="1" applyBorder="1" applyProtection="1">
      <protection locked="0"/>
    </xf>
    <xf numFmtId="166" fontId="7" fillId="0" borderId="50" xfId="0" applyNumberFormat="1" applyFont="1" applyBorder="1" applyProtection="1"/>
    <xf numFmtId="166" fontId="7" fillId="0" borderId="52" xfId="0" applyNumberFormat="1" applyFont="1" applyBorder="1" applyProtection="1"/>
    <xf numFmtId="169" fontId="7" fillId="0" borderId="50" xfId="0" applyNumberFormat="1" applyFont="1" applyBorder="1" applyProtection="1"/>
    <xf numFmtId="169" fontId="7" fillId="0" borderId="53" xfId="0" applyNumberFormat="1" applyFont="1" applyBorder="1" applyProtection="1"/>
    <xf numFmtId="0" fontId="7" fillId="0" borderId="49" xfId="0" applyFont="1" applyBorder="1" applyProtection="1">
      <protection locked="0"/>
    </xf>
    <xf numFmtId="0" fontId="7" fillId="0" borderId="50" xfId="0" applyFont="1" applyBorder="1" applyAlignment="1" applyProtection="1">
      <alignment horizontal="center"/>
      <protection locked="0"/>
    </xf>
    <xf numFmtId="6" fontId="7" fillId="0" borderId="50" xfId="2" applyNumberFormat="1" applyFont="1" applyBorder="1" applyProtection="1">
      <protection locked="0"/>
    </xf>
    <xf numFmtId="6" fontId="7" fillId="0" borderId="50" xfId="0" applyNumberFormat="1" applyFont="1" applyBorder="1" applyProtection="1">
      <protection locked="0"/>
    </xf>
    <xf numFmtId="6" fontId="7" fillId="0" borderId="51" xfId="0" applyNumberFormat="1" applyFont="1" applyBorder="1" applyProtection="1">
      <protection locked="0"/>
    </xf>
    <xf numFmtId="6" fontId="7" fillId="0" borderId="50" xfId="0" applyNumberFormat="1" applyFont="1" applyBorder="1" applyProtection="1"/>
    <xf numFmtId="6" fontId="7" fillId="0" borderId="52" xfId="0" applyNumberFormat="1" applyFont="1" applyBorder="1" applyProtection="1"/>
    <xf numFmtId="0" fontId="7" fillId="0" borderId="50" xfId="0" applyFont="1" applyBorder="1" applyProtection="1">
      <protection locked="0"/>
    </xf>
    <xf numFmtId="6" fontId="16" fillId="0" borderId="50" xfId="0" applyNumberFormat="1" applyFont="1" applyBorder="1" applyProtection="1">
      <protection locked="0"/>
    </xf>
    <xf numFmtId="6" fontId="7" fillId="0" borderId="54" xfId="0" applyNumberFormat="1" applyFont="1" applyBorder="1" applyProtection="1"/>
    <xf numFmtId="6" fontId="7" fillId="0" borderId="53" xfId="0" applyNumberFormat="1" applyFont="1" applyBorder="1" applyProtection="1"/>
    <xf numFmtId="0" fontId="17" fillId="0" borderId="49" xfId="0" applyFont="1" applyBorder="1" applyAlignment="1" applyProtection="1">
      <alignment horizontal="right"/>
      <protection locked="0"/>
    </xf>
    <xf numFmtId="0" fontId="17" fillId="0" borderId="50" xfId="0" applyFont="1" applyBorder="1" applyProtection="1">
      <protection locked="0"/>
    </xf>
    <xf numFmtId="171" fontId="19" fillId="0" borderId="50" xfId="0" applyNumberFormat="1" applyFont="1" applyBorder="1" applyProtection="1"/>
    <xf numFmtId="172" fontId="19" fillId="0" borderId="50" xfId="0" applyNumberFormat="1" applyFont="1" applyBorder="1" applyProtection="1">
      <protection locked="0"/>
    </xf>
    <xf numFmtId="173" fontId="19" fillId="0" borderId="50" xfId="0" applyNumberFormat="1" applyFont="1" applyBorder="1" applyProtection="1"/>
    <xf numFmtId="171" fontId="21" fillId="0" borderId="50" xfId="0" applyNumberFormat="1" applyFont="1" applyBorder="1" applyProtection="1"/>
    <xf numFmtId="173" fontId="21" fillId="0" borderId="50" xfId="0" applyNumberFormat="1" applyFont="1" applyBorder="1" applyProtection="1"/>
    <xf numFmtId="10" fontId="19" fillId="0" borderId="50" xfId="6" applyNumberFormat="1" applyFont="1" applyBorder="1" applyProtection="1"/>
    <xf numFmtId="171" fontId="19" fillId="0" borderId="53" xfId="0" applyNumberFormat="1" applyFont="1" applyBorder="1" applyProtection="1"/>
    <xf numFmtId="165" fontId="7" fillId="0" borderId="50" xfId="0" applyNumberFormat="1" applyFont="1" applyBorder="1" applyProtection="1">
      <protection locked="0"/>
    </xf>
    <xf numFmtId="168" fontId="7" fillId="0" borderId="50" xfId="0" applyNumberFormat="1" applyFont="1" applyBorder="1" applyProtection="1">
      <protection locked="0"/>
    </xf>
    <xf numFmtId="170" fontId="7" fillId="0" borderId="50" xfId="0" applyNumberFormat="1" applyFont="1" applyBorder="1" applyProtection="1">
      <protection locked="0"/>
    </xf>
    <xf numFmtId="10" fontId="7" fillId="0" borderId="50" xfId="0" applyNumberFormat="1" applyFont="1" applyBorder="1" applyProtection="1"/>
    <xf numFmtId="10" fontId="7" fillId="0" borderId="51" xfId="0" applyNumberFormat="1" applyFont="1" applyBorder="1" applyProtection="1"/>
    <xf numFmtId="10" fontId="7" fillId="0" borderId="53" xfId="0" applyNumberFormat="1" applyFont="1" applyBorder="1" applyProtection="1"/>
    <xf numFmtId="10" fontId="7" fillId="0" borderId="50" xfId="0" applyNumberFormat="1" applyFont="1" applyBorder="1" applyProtection="1">
      <protection locked="0"/>
    </xf>
    <xf numFmtId="10" fontId="7" fillId="0" borderId="53" xfId="0" applyNumberFormat="1" applyFont="1" applyBorder="1" applyProtection="1">
      <protection locked="0"/>
    </xf>
    <xf numFmtId="10" fontId="7" fillId="0" borderId="55" xfId="0" applyNumberFormat="1" applyFont="1" applyBorder="1" applyProtection="1"/>
    <xf numFmtId="10" fontId="7" fillId="0" borderId="54" xfId="0" applyNumberFormat="1" applyFont="1" applyBorder="1" applyProtection="1"/>
    <xf numFmtId="10" fontId="7" fillId="2" borderId="7" xfId="0" applyNumberFormat="1" applyFont="1" applyFill="1" applyBorder="1" applyProtection="1">
      <protection locked="0"/>
    </xf>
    <xf numFmtId="9" fontId="10" fillId="0" borderId="40" xfId="0" applyNumberFormat="1" applyFont="1" applyFill="1" applyBorder="1" applyAlignment="1" applyProtection="1">
      <alignment horizontal="center"/>
      <protection locked="0"/>
    </xf>
    <xf numFmtId="0" fontId="10" fillId="0" borderId="0" xfId="0" applyFont="1" applyFill="1" applyBorder="1" applyAlignment="1" applyProtection="1">
      <alignment horizontal="center"/>
    </xf>
    <xf numFmtId="0" fontId="10" fillId="0" borderId="0" xfId="0" applyFont="1" applyFill="1" applyBorder="1" applyAlignment="1" applyProtection="1">
      <alignment vertical="center"/>
    </xf>
    <xf numFmtId="0" fontId="31" fillId="0" borderId="4" xfId="0" applyFont="1" applyFill="1" applyBorder="1" applyAlignment="1" applyProtection="1">
      <alignment horizontal="center"/>
    </xf>
    <xf numFmtId="10" fontId="7" fillId="0" borderId="0" xfId="0" applyNumberFormat="1" applyFont="1" applyFill="1" applyBorder="1" applyProtection="1">
      <protection locked="0"/>
    </xf>
    <xf numFmtId="0" fontId="7" fillId="0" borderId="0" xfId="0" applyFont="1" applyFill="1" applyProtection="1">
      <protection locked="0"/>
    </xf>
    <xf numFmtId="0" fontId="6" fillId="0" borderId="0" xfId="0" applyFont="1" applyFill="1" applyProtection="1">
      <protection locked="0"/>
    </xf>
    <xf numFmtId="0" fontId="0" fillId="0" borderId="0" xfId="0" applyFont="1" applyFill="1" applyProtection="1">
      <protection locked="0"/>
    </xf>
    <xf numFmtId="0" fontId="14" fillId="0" borderId="56" xfId="0" applyFont="1" applyFill="1" applyBorder="1" applyAlignment="1" applyProtection="1"/>
    <xf numFmtId="10" fontId="7" fillId="0" borderId="50" xfId="0" applyNumberFormat="1" applyFont="1" applyFill="1" applyBorder="1" applyProtection="1"/>
    <xf numFmtId="10" fontId="7" fillId="0" borderId="51" xfId="0" applyNumberFormat="1" applyFont="1" applyFill="1" applyBorder="1" applyProtection="1"/>
    <xf numFmtId="10" fontId="7" fillId="0" borderId="53" xfId="0" applyNumberFormat="1" applyFont="1" applyFill="1" applyBorder="1" applyProtection="1"/>
    <xf numFmtId="10" fontId="7" fillId="0" borderId="50" xfId="0" applyNumberFormat="1" applyFont="1" applyFill="1" applyBorder="1" applyProtection="1">
      <protection locked="0"/>
    </xf>
    <xf numFmtId="10" fontId="7" fillId="0" borderId="53" xfId="0" applyNumberFormat="1" applyFont="1" applyFill="1" applyBorder="1" applyProtection="1">
      <protection locked="0"/>
    </xf>
    <xf numFmtId="10" fontId="7" fillId="2" borderId="0" xfId="0" applyNumberFormat="1" applyFont="1" applyFill="1" applyBorder="1" applyProtection="1">
      <protection locked="0"/>
    </xf>
    <xf numFmtId="10" fontId="7" fillId="2" borderId="0" xfId="0" applyNumberFormat="1" applyFont="1" applyFill="1" applyBorder="1" applyProtection="1"/>
    <xf numFmtId="10" fontId="7" fillId="0" borderId="49" xfId="0" applyNumberFormat="1" applyFont="1" applyFill="1" applyBorder="1" applyProtection="1">
      <protection locked="0"/>
    </xf>
    <xf numFmtId="10" fontId="7" fillId="0" borderId="52" xfId="0" applyNumberFormat="1" applyFont="1" applyFill="1" applyBorder="1" applyProtection="1"/>
    <xf numFmtId="10" fontId="7" fillId="0" borderId="54" xfId="0" applyNumberFormat="1" applyFont="1" applyFill="1" applyBorder="1" applyProtection="1"/>
    <xf numFmtId="0" fontId="0" fillId="0" borderId="0" xfId="0" applyAlignment="1">
      <alignment wrapText="1"/>
    </xf>
    <xf numFmtId="0" fontId="0" fillId="0" borderId="0" xfId="0" applyAlignment="1"/>
    <xf numFmtId="178" fontId="24" fillId="7" borderId="0" xfId="5" applyNumberFormat="1" applyFont="1" applyFill="1" applyAlignment="1" applyProtection="1">
      <alignment horizontal="center"/>
    </xf>
    <xf numFmtId="178" fontId="5" fillId="7" borderId="0" xfId="5" applyNumberFormat="1" applyFont="1" applyFill="1" applyAlignment="1" applyProtection="1">
      <alignment horizontal="center"/>
    </xf>
    <xf numFmtId="178" fontId="24" fillId="10" borderId="33" xfId="4" applyNumberFormat="1" applyFont="1" applyFill="1" applyBorder="1" applyAlignment="1" applyProtection="1">
      <alignment horizontal="center"/>
    </xf>
    <xf numFmtId="178" fontId="5" fillId="10" borderId="33" xfId="4" applyNumberFormat="1" applyFont="1" applyFill="1" applyBorder="1" applyAlignment="1" applyProtection="1">
      <alignment horizontal="center"/>
    </xf>
    <xf numFmtId="40" fontId="7" fillId="2" borderId="0" xfId="0" applyNumberFormat="1" applyFont="1" applyFill="1" applyProtection="1">
      <protection locked="0"/>
    </xf>
    <xf numFmtId="40" fontId="7" fillId="2" borderId="18" xfId="0" applyNumberFormat="1" applyFont="1" applyFill="1" applyBorder="1" applyProtection="1">
      <protection locked="0"/>
    </xf>
    <xf numFmtId="40" fontId="7" fillId="2" borderId="0" xfId="0" applyNumberFormat="1" applyFont="1" applyFill="1" applyProtection="1"/>
    <xf numFmtId="40" fontId="7" fillId="2" borderId="23" xfId="0" applyNumberFormat="1" applyFont="1" applyFill="1" applyBorder="1" applyProtection="1"/>
    <xf numFmtId="40" fontId="7" fillId="2" borderId="12" xfId="0" applyNumberFormat="1" applyFont="1" applyFill="1" applyBorder="1" applyProtection="1"/>
    <xf numFmtId="40" fontId="14" fillId="2" borderId="7" xfId="0" applyNumberFormat="1" applyFont="1" applyFill="1" applyBorder="1" applyAlignment="1" applyProtection="1">
      <alignment horizontal="center"/>
      <protection locked="0"/>
    </xf>
    <xf numFmtId="40" fontId="7" fillId="2" borderId="0" xfId="0" applyNumberFormat="1" applyFont="1" applyFill="1" applyAlignment="1" applyProtection="1">
      <alignment horizontal="center"/>
      <protection locked="0"/>
    </xf>
    <xf numFmtId="40" fontId="7" fillId="2" borderId="21" xfId="0" applyNumberFormat="1" applyFont="1" applyFill="1" applyBorder="1" applyProtection="1"/>
    <xf numFmtId="40" fontId="15" fillId="2" borderId="0" xfId="0" applyNumberFormat="1" applyFont="1" applyFill="1" applyProtection="1">
      <protection locked="0"/>
    </xf>
    <xf numFmtId="40" fontId="7" fillId="2" borderId="57" xfId="0" applyNumberFormat="1" applyFont="1" applyFill="1" applyBorder="1" applyProtection="1"/>
    <xf numFmtId="0" fontId="7" fillId="0" borderId="0" xfId="0" applyFont="1" applyProtection="1">
      <protection hidden="1"/>
    </xf>
    <xf numFmtId="0" fontId="43" fillId="0" borderId="0" xfId="0" applyFont="1" applyFill="1" applyBorder="1" applyProtection="1">
      <protection hidden="1"/>
    </xf>
    <xf numFmtId="0" fontId="7" fillId="0" borderId="0" xfId="0" applyFont="1" applyFill="1" applyBorder="1" applyProtection="1">
      <protection hidden="1"/>
    </xf>
    <xf numFmtId="0" fontId="7" fillId="0" borderId="0" xfId="0" applyFont="1" applyFill="1" applyBorder="1" applyProtection="1">
      <protection locked="0"/>
    </xf>
    <xf numFmtId="0" fontId="43" fillId="0" borderId="0" xfId="0" applyFont="1" applyProtection="1">
      <protection hidden="1"/>
    </xf>
    <xf numFmtId="0" fontId="14" fillId="0" borderId="0" xfId="0" applyFont="1" applyProtection="1">
      <protection hidden="1"/>
    </xf>
    <xf numFmtId="0" fontId="44" fillId="0" borderId="0" xfId="0" applyFont="1" applyProtection="1">
      <protection hidden="1"/>
    </xf>
    <xf numFmtId="179" fontId="43" fillId="0" borderId="0" xfId="0" applyNumberFormat="1" applyFont="1" applyFill="1" applyBorder="1" applyProtection="1">
      <protection hidden="1"/>
    </xf>
    <xf numFmtId="179" fontId="43" fillId="0" borderId="0" xfId="0" applyNumberFormat="1" applyFont="1" applyProtection="1">
      <protection hidden="1"/>
    </xf>
    <xf numFmtId="179" fontId="7" fillId="0" borderId="0" xfId="0" applyNumberFormat="1" applyFont="1" applyProtection="1">
      <protection hidden="1"/>
    </xf>
    <xf numFmtId="179" fontId="7" fillId="0" borderId="0" xfId="0" applyNumberFormat="1" applyFont="1" applyProtection="1">
      <protection locked="0"/>
    </xf>
    <xf numFmtId="179" fontId="44" fillId="0" borderId="0" xfId="0" applyNumberFormat="1" applyFont="1" applyProtection="1">
      <protection hidden="1"/>
    </xf>
    <xf numFmtId="10" fontId="43" fillId="0" borderId="0" xfId="0" applyNumberFormat="1" applyFont="1" applyFill="1" applyBorder="1" applyProtection="1">
      <protection hidden="1"/>
    </xf>
    <xf numFmtId="10" fontId="43" fillId="0" borderId="0" xfId="0" applyNumberFormat="1" applyFont="1" applyFill="1" applyBorder="1" applyProtection="1">
      <protection locked="0"/>
    </xf>
    <xf numFmtId="10" fontId="45" fillId="0" borderId="0" xfId="0" applyNumberFormat="1" applyFont="1" applyFill="1" applyBorder="1" applyProtection="1">
      <protection locked="0"/>
    </xf>
    <xf numFmtId="10" fontId="43" fillId="0" borderId="0" xfId="0" applyNumberFormat="1" applyFont="1" applyProtection="1">
      <protection locked="0"/>
    </xf>
    <xf numFmtId="10" fontId="45" fillId="0" borderId="0" xfId="0" applyNumberFormat="1" applyFont="1" applyProtection="1">
      <protection locked="0"/>
    </xf>
    <xf numFmtId="10" fontId="43" fillId="0" borderId="0" xfId="0" applyNumberFormat="1" applyFont="1" applyFill="1" applyProtection="1">
      <protection locked="0"/>
    </xf>
    <xf numFmtId="10" fontId="45" fillId="0" borderId="0" xfId="0" applyNumberFormat="1" applyFont="1" applyProtection="1">
      <protection hidden="1"/>
    </xf>
    <xf numFmtId="3" fontId="46" fillId="0" borderId="0" xfId="0" applyNumberFormat="1" applyFont="1"/>
    <xf numFmtId="0" fontId="47" fillId="0" borderId="0" xfId="0" applyFont="1"/>
    <xf numFmtId="3" fontId="48" fillId="0" borderId="0" xfId="0" applyNumberFormat="1" applyFont="1"/>
    <xf numFmtId="0" fontId="46" fillId="0" borderId="0" xfId="0" applyFont="1"/>
    <xf numFmtId="0" fontId="49" fillId="0" borderId="0" xfId="0" applyFont="1" applyAlignment="1"/>
    <xf numFmtId="0" fontId="49" fillId="0" borderId="0" xfId="0" applyFont="1"/>
    <xf numFmtId="0" fontId="50" fillId="0" borderId="0" xfId="0" applyFont="1" applyAlignment="1">
      <alignment horizontal="center" vertical="center" wrapText="1"/>
    </xf>
    <xf numFmtId="0" fontId="0" fillId="0" borderId="0" xfId="0" applyAlignment="1">
      <alignment horizontal="center" vertical="center" wrapText="1"/>
    </xf>
    <xf numFmtId="0" fontId="50" fillId="0" borderId="0" xfId="0" applyFont="1" applyAlignment="1">
      <alignment vertical="top" wrapText="1"/>
    </xf>
    <xf numFmtId="0" fontId="0" fillId="0" borderId="0" xfId="0" applyAlignment="1">
      <alignment vertical="top" wrapText="1"/>
    </xf>
    <xf numFmtId="180" fontId="0" fillId="0" borderId="0" xfId="0" applyNumberFormat="1" applyAlignment="1">
      <alignment horizontal="right" vertical="top"/>
    </xf>
    <xf numFmtId="37" fontId="0" fillId="0" borderId="0" xfId="0" applyNumberFormat="1" applyAlignment="1">
      <alignment horizontal="right" vertical="top"/>
    </xf>
    <xf numFmtId="0" fontId="49" fillId="0" borderId="0" xfId="0" applyFont="1" applyAlignment="1">
      <alignment horizontal="center"/>
    </xf>
    <xf numFmtId="181" fontId="0" fillId="0" borderId="0" xfId="0" applyNumberFormat="1" applyAlignment="1">
      <alignment horizontal="right" vertical="top"/>
    </xf>
    <xf numFmtId="182" fontId="0" fillId="0" borderId="0" xfId="0" applyNumberFormat="1" applyAlignment="1">
      <alignment horizontal="right" vertical="top"/>
    </xf>
    <xf numFmtId="183" fontId="0" fillId="0" borderId="0" xfId="0" applyNumberFormat="1" applyAlignment="1">
      <alignment horizontal="right" vertical="top"/>
    </xf>
    <xf numFmtId="0" fontId="3" fillId="0" borderId="0" xfId="4"/>
    <xf numFmtId="37" fontId="0" fillId="0" borderId="0" xfId="0" applyNumberFormat="1" applyAlignment="1">
      <alignment horizontal="right"/>
    </xf>
    <xf numFmtId="181" fontId="0" fillId="0" borderId="0" xfId="0" applyNumberFormat="1" applyAlignment="1">
      <alignment horizontal="right"/>
    </xf>
    <xf numFmtId="180" fontId="0" fillId="0" borderId="0" xfId="0" applyNumberFormat="1" applyAlignment="1">
      <alignment horizontal="right"/>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164" fontId="51" fillId="2" borderId="0" xfId="0" applyNumberFormat="1" applyFont="1" applyFill="1" applyBorder="1"/>
    <xf numFmtId="164" fontId="51" fillId="2" borderId="2" xfId="2" applyNumberFormat="1" applyFont="1" applyFill="1" applyBorder="1"/>
    <xf numFmtId="0" fontId="19" fillId="0" borderId="0" xfId="0" applyFont="1"/>
    <xf numFmtId="0" fontId="0" fillId="0" borderId="0" xfId="0" applyAlignment="1">
      <alignment vertical="center"/>
    </xf>
    <xf numFmtId="0" fontId="0" fillId="0" borderId="0" xfId="0"/>
    <xf numFmtId="0" fontId="19" fillId="0" borderId="0" xfId="0" applyFont="1" applyBorder="1"/>
    <xf numFmtId="0" fontId="52" fillId="0" borderId="0" xfId="0" applyFont="1"/>
    <xf numFmtId="40" fontId="7" fillId="12" borderId="0" xfId="0" applyNumberFormat="1" applyFont="1" applyFill="1" applyProtection="1">
      <protection locked="0"/>
    </xf>
    <xf numFmtId="3" fontId="46" fillId="12" borderId="0" xfId="0" applyNumberFormat="1" applyFont="1" applyFill="1"/>
    <xf numFmtId="4" fontId="46" fillId="12" borderId="0" xfId="0" applyNumberFormat="1" applyFont="1" applyFill="1"/>
    <xf numFmtId="0" fontId="46" fillId="12" borderId="0" xfId="0" applyFont="1" applyFill="1"/>
    <xf numFmtId="0" fontId="0" fillId="12" borderId="0" xfId="0" applyFill="1" applyAlignment="1">
      <alignment vertical="top" wrapText="1"/>
    </xf>
    <xf numFmtId="4" fontId="0" fillId="12" borderId="0" xfId="0" applyNumberFormat="1" applyFill="1"/>
    <xf numFmtId="40" fontId="7" fillId="12" borderId="18" xfId="0" applyNumberFormat="1" applyFont="1" applyFill="1" applyBorder="1" applyProtection="1">
      <protection locked="0"/>
    </xf>
    <xf numFmtId="0" fontId="50" fillId="0" borderId="0" xfId="0" applyFont="1" applyAlignment="1">
      <alignment horizontal="center" vertical="center" wrapText="1"/>
    </xf>
    <xf numFmtId="0" fontId="0" fillId="0" borderId="0" xfId="0"/>
    <xf numFmtId="0" fontId="49" fillId="0" borderId="0" xfId="0" applyFont="1" applyAlignment="1">
      <alignment horizontal="center" vertical="center" wrapText="1"/>
    </xf>
    <xf numFmtId="0" fontId="49" fillId="0" borderId="0" xfId="0" applyFont="1" applyAlignment="1">
      <alignment horizontal="center" vertical="center"/>
    </xf>
    <xf numFmtId="177" fontId="34" fillId="2" borderId="58" xfId="0" applyNumberFormat="1" applyFont="1" applyFill="1" applyBorder="1" applyAlignment="1" applyProtection="1">
      <alignment horizontal="center" vertical="center"/>
      <protection locked="0"/>
    </xf>
    <xf numFmtId="177" fontId="34" fillId="2" borderId="59" xfId="0" applyNumberFormat="1" applyFont="1" applyFill="1" applyBorder="1" applyAlignment="1" applyProtection="1">
      <alignment horizontal="center" vertical="center"/>
      <protection locked="0"/>
    </xf>
    <xf numFmtId="177" fontId="34" fillId="2" borderId="60" xfId="0" applyNumberFormat="1" applyFont="1" applyFill="1" applyBorder="1" applyAlignment="1" applyProtection="1">
      <alignment horizontal="center" vertical="center"/>
      <protection locked="0"/>
    </xf>
    <xf numFmtId="0" fontId="10" fillId="2" borderId="47" xfId="0" applyFont="1" applyFill="1" applyBorder="1" applyAlignment="1" applyProtection="1">
      <alignment horizontal="center"/>
    </xf>
    <xf numFmtId="0" fontId="10" fillId="2" borderId="0" xfId="0" applyFont="1" applyFill="1" applyBorder="1" applyAlignment="1" applyProtection="1">
      <alignment horizontal="center"/>
    </xf>
    <xf numFmtId="0" fontId="10" fillId="2" borderId="2" xfId="0" applyFont="1" applyFill="1" applyBorder="1" applyAlignment="1" applyProtection="1">
      <alignment horizontal="center"/>
    </xf>
    <xf numFmtId="0" fontId="29" fillId="2" borderId="47" xfId="0" applyFont="1" applyFill="1" applyBorder="1" applyAlignment="1" applyProtection="1">
      <alignment horizontal="center"/>
    </xf>
    <xf numFmtId="0" fontId="29" fillId="2" borderId="0" xfId="0" applyFont="1" applyFill="1" applyBorder="1" applyAlignment="1" applyProtection="1">
      <alignment horizontal="center"/>
    </xf>
    <xf numFmtId="0" fontId="29" fillId="2" borderId="2" xfId="0" applyFont="1" applyFill="1" applyBorder="1" applyAlignment="1" applyProtection="1">
      <alignment horizontal="center"/>
    </xf>
    <xf numFmtId="0" fontId="10" fillId="3" borderId="47" xfId="0" applyFont="1" applyFill="1" applyBorder="1" applyAlignment="1" applyProtection="1">
      <alignment horizontal="center"/>
    </xf>
    <xf numFmtId="0" fontId="10" fillId="3" borderId="0" xfId="0" applyFont="1" applyFill="1" applyBorder="1" applyAlignment="1" applyProtection="1">
      <alignment horizontal="center"/>
    </xf>
    <xf numFmtId="0" fontId="10" fillId="3" borderId="2" xfId="0" applyFont="1" applyFill="1" applyBorder="1" applyAlignment="1" applyProtection="1">
      <alignment horizontal="center"/>
    </xf>
    <xf numFmtId="0" fontId="32" fillId="3" borderId="47" xfId="0" applyFont="1" applyFill="1" applyBorder="1" applyAlignment="1" applyProtection="1">
      <alignment horizontal="center" vertical="top"/>
    </xf>
    <xf numFmtId="0" fontId="32" fillId="3" borderId="0" xfId="0" applyFont="1" applyFill="1" applyBorder="1" applyAlignment="1" applyProtection="1">
      <alignment horizontal="center" vertical="top"/>
    </xf>
    <xf numFmtId="0" fontId="32" fillId="3" borderId="2" xfId="0" applyFont="1" applyFill="1" applyBorder="1" applyAlignment="1" applyProtection="1">
      <alignment horizontal="center" vertical="top"/>
    </xf>
    <xf numFmtId="9" fontId="10" fillId="2" borderId="45" xfId="0" applyNumberFormat="1" applyFont="1" applyFill="1" applyBorder="1" applyAlignment="1" applyProtection="1">
      <alignment horizontal="center"/>
      <protection locked="0"/>
    </xf>
    <xf numFmtId="9" fontId="10" fillId="2" borderId="40" xfId="0" applyNumberFormat="1" applyFont="1" applyFill="1" applyBorder="1" applyAlignment="1" applyProtection="1">
      <alignment horizontal="center"/>
      <protection locked="0"/>
    </xf>
    <xf numFmtId="9" fontId="10" fillId="2" borderId="44" xfId="0" applyNumberFormat="1" applyFont="1" applyFill="1" applyBorder="1" applyAlignment="1" applyProtection="1">
      <alignment horizontal="center"/>
      <protection locked="0"/>
    </xf>
    <xf numFmtId="9" fontId="29" fillId="2" borderId="45" xfId="6" applyFont="1" applyFill="1" applyBorder="1" applyAlignment="1" applyProtection="1">
      <alignment horizontal="center"/>
      <protection locked="0"/>
    </xf>
    <xf numFmtId="9" fontId="29" fillId="2" borderId="40" xfId="6" applyFont="1" applyFill="1" applyBorder="1" applyAlignment="1" applyProtection="1">
      <alignment horizontal="center"/>
      <protection locked="0"/>
    </xf>
    <xf numFmtId="9" fontId="29" fillId="2" borderId="44" xfId="6" applyFont="1" applyFill="1" applyBorder="1" applyAlignment="1" applyProtection="1">
      <alignment horizontal="center"/>
      <protection locked="0"/>
    </xf>
    <xf numFmtId="0" fontId="29" fillId="5" borderId="47" xfId="0" applyFont="1" applyFill="1" applyBorder="1" applyAlignment="1" applyProtection="1">
      <alignment horizontal="center"/>
    </xf>
    <xf numFmtId="0" fontId="29" fillId="5" borderId="0" xfId="0" applyFont="1" applyFill="1" applyBorder="1" applyAlignment="1" applyProtection="1">
      <alignment horizontal="center"/>
    </xf>
    <xf numFmtId="0" fontId="29" fillId="5" borderId="2" xfId="0" applyFont="1" applyFill="1" applyBorder="1" applyAlignment="1" applyProtection="1">
      <alignment horizontal="center"/>
    </xf>
    <xf numFmtId="9" fontId="10" fillId="3" borderId="45" xfId="0" applyNumberFormat="1" applyFont="1" applyFill="1" applyBorder="1" applyAlignment="1" applyProtection="1">
      <alignment horizontal="center"/>
      <protection locked="0"/>
    </xf>
    <xf numFmtId="9" fontId="10" fillId="3" borderId="40" xfId="0" applyNumberFormat="1" applyFont="1" applyFill="1" applyBorder="1" applyAlignment="1" applyProtection="1">
      <alignment horizontal="center"/>
      <protection locked="0"/>
    </xf>
    <xf numFmtId="9" fontId="10" fillId="3" borderId="44" xfId="0" applyNumberFormat="1" applyFont="1" applyFill="1" applyBorder="1" applyAlignment="1" applyProtection="1">
      <alignment horizontal="center"/>
      <protection locked="0"/>
    </xf>
    <xf numFmtId="0" fontId="32" fillId="5" borderId="47" xfId="0" applyFont="1" applyFill="1" applyBorder="1" applyAlignment="1" applyProtection="1">
      <alignment horizontal="center" vertical="top"/>
    </xf>
    <xf numFmtId="0" fontId="32" fillId="5" borderId="0" xfId="0" applyFont="1" applyFill="1" applyBorder="1" applyAlignment="1" applyProtection="1">
      <alignment horizontal="center" vertical="top"/>
    </xf>
    <xf numFmtId="0" fontId="32" fillId="5" borderId="2" xfId="0" applyFont="1" applyFill="1" applyBorder="1" applyAlignment="1" applyProtection="1">
      <alignment horizontal="center" vertical="top"/>
    </xf>
    <xf numFmtId="0" fontId="33" fillId="5" borderId="47" xfId="0" applyFont="1" applyFill="1" applyBorder="1" applyAlignment="1" applyProtection="1">
      <alignment horizontal="center" vertical="top"/>
    </xf>
    <xf numFmtId="0" fontId="33" fillId="5" borderId="0" xfId="0" applyFont="1" applyFill="1" applyBorder="1" applyAlignment="1" applyProtection="1">
      <alignment horizontal="center" vertical="top"/>
    </xf>
    <xf numFmtId="0" fontId="33" fillId="5" borderId="2" xfId="0" applyFont="1" applyFill="1" applyBorder="1" applyAlignment="1" applyProtection="1">
      <alignment horizontal="center" vertical="top"/>
    </xf>
    <xf numFmtId="9" fontId="29" fillId="5" borderId="45" xfId="6" applyFont="1" applyFill="1" applyBorder="1" applyAlignment="1" applyProtection="1">
      <alignment horizontal="center"/>
    </xf>
    <xf numFmtId="9" fontId="29" fillId="5" borderId="40" xfId="6" applyFont="1" applyFill="1" applyBorder="1" applyAlignment="1" applyProtection="1">
      <alignment horizontal="center"/>
    </xf>
    <xf numFmtId="9" fontId="29" fillId="5" borderId="44" xfId="6" applyFont="1" applyFill="1" applyBorder="1" applyAlignment="1" applyProtection="1">
      <alignment horizontal="center"/>
    </xf>
    <xf numFmtId="9" fontId="10" fillId="5" borderId="45" xfId="0" applyNumberFormat="1" applyFont="1" applyFill="1" applyBorder="1" applyAlignment="1" applyProtection="1">
      <alignment horizontal="center"/>
    </xf>
    <xf numFmtId="9" fontId="10" fillId="5" borderId="40" xfId="0" applyNumberFormat="1" applyFont="1" applyFill="1" applyBorder="1" applyAlignment="1" applyProtection="1">
      <alignment horizontal="center"/>
    </xf>
    <xf numFmtId="9" fontId="10" fillId="5" borderId="44" xfId="0" applyNumberFormat="1" applyFont="1" applyFill="1" applyBorder="1" applyAlignment="1" applyProtection="1">
      <alignment horizontal="center"/>
    </xf>
    <xf numFmtId="9" fontId="29" fillId="3" borderId="45" xfId="6" applyFont="1" applyFill="1" applyBorder="1" applyAlignment="1" applyProtection="1">
      <alignment horizontal="center"/>
      <protection locked="0"/>
    </xf>
    <xf numFmtId="9" fontId="29" fillId="3" borderId="40" xfId="6" applyFont="1" applyFill="1" applyBorder="1" applyAlignment="1" applyProtection="1">
      <alignment horizontal="center"/>
      <protection locked="0"/>
    </xf>
    <xf numFmtId="9" fontId="29" fillId="3" borderId="44" xfId="6" applyFont="1" applyFill="1" applyBorder="1" applyAlignment="1" applyProtection="1">
      <alignment horizontal="center"/>
      <protection locked="0"/>
    </xf>
    <xf numFmtId="0" fontId="33" fillId="3" borderId="47" xfId="0" applyFont="1" applyFill="1" applyBorder="1" applyAlignment="1" applyProtection="1">
      <alignment horizontal="center" vertical="top"/>
    </xf>
    <xf numFmtId="0" fontId="33" fillId="3" borderId="0" xfId="0" applyFont="1" applyFill="1" applyBorder="1" applyAlignment="1" applyProtection="1">
      <alignment horizontal="center" vertical="top"/>
    </xf>
    <xf numFmtId="0" fontId="33" fillId="3" borderId="2" xfId="0" applyFont="1" applyFill="1" applyBorder="1" applyAlignment="1" applyProtection="1">
      <alignment horizontal="center" vertical="top"/>
    </xf>
    <xf numFmtId="0" fontId="29" fillId="3" borderId="47" xfId="0" applyFont="1" applyFill="1" applyBorder="1" applyAlignment="1" applyProtection="1">
      <alignment horizontal="center"/>
    </xf>
    <xf numFmtId="0" fontId="29" fillId="3" borderId="0" xfId="0" applyFont="1" applyFill="1" applyBorder="1" applyAlignment="1" applyProtection="1">
      <alignment horizontal="center"/>
    </xf>
    <xf numFmtId="0" fontId="29" fillId="3" borderId="2" xfId="0" applyFont="1" applyFill="1" applyBorder="1" applyAlignment="1" applyProtection="1">
      <alignment horizontal="center"/>
    </xf>
    <xf numFmtId="0" fontId="10" fillId="5" borderId="47" xfId="0" applyFont="1" applyFill="1" applyBorder="1" applyAlignment="1" applyProtection="1">
      <alignment horizontal="center"/>
    </xf>
    <xf numFmtId="0" fontId="10" fillId="5" borderId="0" xfId="0" applyFont="1" applyFill="1" applyBorder="1" applyAlignment="1" applyProtection="1">
      <alignment horizontal="center"/>
    </xf>
    <xf numFmtId="0" fontId="10" fillId="5" borderId="2" xfId="0" applyFont="1" applyFill="1" applyBorder="1" applyAlignment="1" applyProtection="1">
      <alignment horizontal="center"/>
    </xf>
    <xf numFmtId="178" fontId="30" fillId="0" borderId="61" xfId="6" applyNumberFormat="1" applyFont="1" applyBorder="1" applyAlignment="1" applyProtection="1">
      <alignment horizontal="center"/>
    </xf>
    <xf numFmtId="178" fontId="30" fillId="0" borderId="62" xfId="6" applyNumberFormat="1" applyFont="1" applyBorder="1" applyAlignment="1" applyProtection="1">
      <alignment horizontal="center"/>
    </xf>
    <xf numFmtId="178" fontId="27" fillId="0" borderId="63" xfId="6" applyNumberFormat="1" applyFont="1" applyBorder="1" applyAlignment="1" applyProtection="1">
      <alignment horizontal="center"/>
    </xf>
    <xf numFmtId="178" fontId="27" fillId="0" borderId="64" xfId="6" applyNumberFormat="1" applyFont="1" applyBorder="1" applyAlignment="1" applyProtection="1">
      <alignment horizontal="center"/>
    </xf>
    <xf numFmtId="10" fontId="30" fillId="0" borderId="61" xfId="6" applyNumberFormat="1" applyFont="1" applyBorder="1" applyAlignment="1" applyProtection="1">
      <alignment horizontal="center"/>
    </xf>
    <xf numFmtId="10" fontId="30" fillId="0" borderId="62" xfId="6" applyNumberFormat="1" applyFont="1" applyBorder="1" applyAlignment="1" applyProtection="1">
      <alignment horizontal="center"/>
    </xf>
    <xf numFmtId="10" fontId="27" fillId="0" borderId="63" xfId="6" applyNumberFormat="1" applyFont="1" applyBorder="1" applyAlignment="1" applyProtection="1">
      <alignment horizontal="center"/>
    </xf>
    <xf numFmtId="10" fontId="27" fillId="0" borderId="64" xfId="6" applyNumberFormat="1" applyFont="1" applyBorder="1" applyAlignment="1" applyProtection="1">
      <alignment horizontal="center"/>
    </xf>
    <xf numFmtId="0" fontId="4" fillId="0" borderId="12" xfId="5" applyFont="1" applyBorder="1" applyAlignment="1" applyProtection="1">
      <alignment horizontal="center"/>
    </xf>
    <xf numFmtId="174" fontId="23" fillId="0" borderId="65" xfId="5" applyNumberFormat="1" applyFont="1" applyBorder="1" applyAlignment="1" applyProtection="1">
      <alignment horizontal="center"/>
      <protection hidden="1"/>
    </xf>
    <xf numFmtId="174" fontId="25" fillId="11" borderId="66" xfId="5" applyNumberFormat="1" applyFont="1" applyFill="1" applyBorder="1" applyAlignment="1" applyProtection="1">
      <alignment horizontal="center"/>
      <protection locked="0"/>
    </xf>
    <xf numFmtId="174" fontId="25" fillId="11" borderId="67" xfId="5" applyNumberFormat="1" applyFont="1" applyFill="1" applyBorder="1" applyAlignment="1" applyProtection="1">
      <alignment horizontal="center"/>
      <protection locked="0"/>
    </xf>
    <xf numFmtId="174" fontId="25" fillId="11" borderId="68" xfId="5" applyNumberFormat="1" applyFont="1" applyFill="1" applyBorder="1" applyAlignment="1" applyProtection="1">
      <alignment horizontal="center"/>
      <protection locked="0"/>
    </xf>
    <xf numFmtId="0" fontId="0" fillId="0" borderId="69" xfId="5" applyFont="1" applyBorder="1" applyAlignment="1" applyProtection="1">
      <alignment horizontal="center"/>
    </xf>
    <xf numFmtId="0" fontId="0" fillId="0" borderId="70" xfId="5" applyFont="1" applyBorder="1" applyAlignment="1" applyProtection="1">
      <alignment horizontal="center"/>
    </xf>
  </cellXfs>
  <cellStyles count="7">
    <cellStyle name="Comma" xfId="1" builtinId="3"/>
    <cellStyle name="Currency" xfId="2" builtinId="4"/>
    <cellStyle name="Hyperlink" xfId="3" builtinId="8"/>
    <cellStyle name="Normal" xfId="0" builtinId="0"/>
    <cellStyle name="Normal_DuPont_Tree" xfId="4"/>
    <cellStyle name="Normal_Nelly1" xfId="5"/>
    <cellStyle name="Percent" xfId="6" builtinId="5"/>
  </cellStyles>
  <dxfs count="7">
    <dxf>
      <font>
        <condense val="0"/>
        <extend val="0"/>
        <color indexed="45"/>
      </font>
    </dxf>
    <dxf>
      <font>
        <condense val="0"/>
        <extend val="0"/>
        <color indexed="9"/>
      </font>
    </dxf>
    <dxf>
      <font>
        <condense val="0"/>
        <extend val="0"/>
        <color indexed="45"/>
      </font>
    </dxf>
    <dxf>
      <font>
        <condense val="0"/>
        <extend val="0"/>
        <color indexed="13"/>
      </font>
    </dxf>
    <dxf>
      <font>
        <condense val="0"/>
        <extend val="0"/>
        <color indexed="9"/>
      </font>
    </dxf>
    <dxf>
      <font>
        <condense val="0"/>
        <extend val="0"/>
        <color indexed="22"/>
      </font>
    </dxf>
    <dxf>
      <font>
        <condense val="0"/>
        <extend val="0"/>
        <color indexed="47"/>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ROE</a:t>
            </a:r>
          </a:p>
        </c:rich>
      </c:tx>
      <c:layout>
        <c:manualLayout>
          <c:xMode val="edge"/>
          <c:yMode val="edge"/>
          <c:x val="0.462512319590341"/>
          <c:y val="0.0280992724010765"/>
        </c:manualLayout>
      </c:layout>
      <c:overlay val="0"/>
      <c:spPr>
        <a:noFill/>
        <a:ln w="25400">
          <a:noFill/>
        </a:ln>
      </c:spPr>
    </c:title>
    <c:autoTitleDeleted val="0"/>
    <c:plotArea>
      <c:layout>
        <c:manualLayout>
          <c:layoutTarget val="inner"/>
          <c:xMode val="edge"/>
          <c:yMode val="edge"/>
          <c:x val="0.131403118040089"/>
          <c:y val="0.206751906777042"/>
          <c:w val="0.804008908685969"/>
          <c:h val="0.481014640256792"/>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Calculations'!$B$78:$F$78</c:f>
              <c:numCache>
                <c:formatCode>0.00%</c:formatCode>
                <c:ptCount val="5"/>
                <c:pt idx="0">
                  <c:v>-1.860482329926963</c:v>
                </c:pt>
                <c:pt idx="1">
                  <c:v>-0.392809490308338</c:v>
                </c:pt>
                <c:pt idx="2">
                  <c:v>0.079007223229222</c:v>
                </c:pt>
                <c:pt idx="3">
                  <c:v>0.119194066348783</c:v>
                </c:pt>
                <c:pt idx="4">
                  <c:v>0.0981149689418692</c:v>
                </c:pt>
              </c:numCache>
            </c:numRef>
          </c:yVal>
          <c:smooth val="0"/>
          <c:extLst xmlns:c16r2="http://schemas.microsoft.com/office/drawing/2015/06/chart">
            <c:ext xmlns:c16="http://schemas.microsoft.com/office/drawing/2014/chart" uri="{C3380CC4-5D6E-409C-BE32-E72D297353CC}">
              <c16:uniqueId val="{00000000-D7F2-4D01-8FC6-55AC88942B3B}"/>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Calculations'!$H$78:$L$78</c:f>
              <c:numCache>
                <c:formatCode>0.00%</c:formatCode>
                <c:ptCount val="5"/>
                <c:pt idx="0">
                  <c:v>0.298885595081247</c:v>
                </c:pt>
                <c:pt idx="1">
                  <c:v>0.31235570313108</c:v>
                </c:pt>
                <c:pt idx="2">
                  <c:v>0.310261948948858</c:v>
                </c:pt>
                <c:pt idx="3">
                  <c:v>0.313515293428948</c:v>
                </c:pt>
                <c:pt idx="4">
                  <c:v>0.266524682437058</c:v>
                </c:pt>
              </c:numCache>
            </c:numRef>
          </c:yVal>
          <c:smooth val="0"/>
          <c:extLst xmlns:c16r2="http://schemas.microsoft.com/office/drawing/2015/06/chart">
            <c:ext xmlns:c16="http://schemas.microsoft.com/office/drawing/2014/chart" uri="{C3380CC4-5D6E-409C-BE32-E72D297353CC}">
              <c16:uniqueId val="{00000001-D7F2-4D01-8FC6-55AC88942B3B}"/>
            </c:ext>
          </c:extLst>
        </c:ser>
        <c:dLbls>
          <c:showLegendKey val="0"/>
          <c:showVal val="0"/>
          <c:showCatName val="0"/>
          <c:showSerName val="0"/>
          <c:showPercent val="0"/>
          <c:showBubbleSize val="0"/>
        </c:dLbls>
        <c:axId val="763386176"/>
        <c:axId val="651148080"/>
      </c:scatterChart>
      <c:valAx>
        <c:axId val="76338617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651148080"/>
        <c:crosses val="autoZero"/>
        <c:crossBetween val="midCat"/>
      </c:valAx>
      <c:valAx>
        <c:axId val="651148080"/>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386176"/>
        <c:crosses val="autoZero"/>
        <c:crossBetween val="midCat"/>
      </c:valAx>
      <c:spPr>
        <a:solidFill>
          <a:srgbClr val="C0C0C0"/>
        </a:solidFill>
        <a:ln w="12700">
          <a:solidFill>
            <a:srgbClr val="808080"/>
          </a:solidFill>
          <a:prstDash val="solid"/>
        </a:ln>
      </c:spPr>
    </c:plotArea>
    <c:legend>
      <c:legendPos val="r"/>
      <c:layout>
        <c:manualLayout>
          <c:xMode val="edge"/>
          <c:yMode val="edge"/>
          <c:x val="0.253120200674631"/>
          <c:y val="0.840391213637844"/>
          <c:w val="0.516935621096077"/>
          <c:h val="0.1074918994187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NPM</a:t>
            </a:r>
          </a:p>
        </c:rich>
      </c:tx>
      <c:layout>
        <c:manualLayout>
          <c:xMode val="edge"/>
          <c:yMode val="edge"/>
          <c:x val="0.457726450860309"/>
          <c:y val="0.028006689037288"/>
        </c:manualLayout>
      </c:layout>
      <c:overlay val="0"/>
      <c:spPr>
        <a:noFill/>
        <a:ln w="25400">
          <a:noFill/>
        </a:ln>
      </c:spPr>
    </c:title>
    <c:autoTitleDeleted val="0"/>
    <c:plotArea>
      <c:layout>
        <c:manualLayout>
          <c:layoutTarget val="inner"/>
          <c:xMode val="edge"/>
          <c:yMode val="edge"/>
          <c:x val="0.13111139564105"/>
          <c:y val="0.227849040121638"/>
          <c:w val="0.800001736114879"/>
          <c:h val="0.455698080243276"/>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Calculations'!$B$75:$F$75</c:f>
              <c:numCache>
                <c:formatCode>0.00%</c:formatCode>
                <c:ptCount val="5"/>
                <c:pt idx="0">
                  <c:v>-0.253657200406138</c:v>
                </c:pt>
                <c:pt idx="1">
                  <c:v>-0.125163187621102</c:v>
                </c:pt>
                <c:pt idx="2">
                  <c:v>0.0302791398882726</c:v>
                </c:pt>
                <c:pt idx="3">
                  <c:v>0.0463702269208809</c:v>
                </c:pt>
                <c:pt idx="4">
                  <c:v>0.0348694172692471</c:v>
                </c:pt>
              </c:numCache>
            </c:numRef>
          </c:yVal>
          <c:smooth val="0"/>
          <c:extLst xmlns:c16r2="http://schemas.microsoft.com/office/drawing/2015/06/chart">
            <c:ext xmlns:c16="http://schemas.microsoft.com/office/drawing/2014/chart" uri="{C3380CC4-5D6E-409C-BE32-E72D297353CC}">
              <c16:uniqueId val="{00000000-1D76-4CF9-B297-B8B42E52E79B}"/>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Calculations'!$H$75:$L$75</c:f>
              <c:numCache>
                <c:formatCode>0.00%</c:formatCode>
                <c:ptCount val="5"/>
                <c:pt idx="0">
                  <c:v>0.101007383770546</c:v>
                </c:pt>
                <c:pt idx="1">
                  <c:v>0.109774998176647</c:v>
                </c:pt>
                <c:pt idx="2">
                  <c:v>0.100160091143915</c:v>
                </c:pt>
                <c:pt idx="3">
                  <c:v>0.0882165211662</c:v>
                </c:pt>
                <c:pt idx="4">
                  <c:v>0.0795459704880817</c:v>
                </c:pt>
              </c:numCache>
            </c:numRef>
          </c:yVal>
          <c:smooth val="0"/>
          <c:extLst xmlns:c16r2="http://schemas.microsoft.com/office/drawing/2015/06/chart">
            <c:ext xmlns:c16="http://schemas.microsoft.com/office/drawing/2014/chart" uri="{C3380CC4-5D6E-409C-BE32-E72D297353CC}">
              <c16:uniqueId val="{00000001-1D76-4CF9-B297-B8B42E52E79B}"/>
            </c:ext>
          </c:extLst>
        </c:ser>
        <c:dLbls>
          <c:showLegendKey val="0"/>
          <c:showVal val="0"/>
          <c:showCatName val="0"/>
          <c:showSerName val="0"/>
          <c:showPercent val="0"/>
          <c:showBubbleSize val="0"/>
        </c:dLbls>
        <c:axId val="772483344"/>
        <c:axId val="772487552"/>
      </c:scatterChart>
      <c:valAx>
        <c:axId val="77248334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2487552"/>
        <c:crosses val="autoZero"/>
        <c:crossBetween val="midCat"/>
      </c:valAx>
      <c:valAx>
        <c:axId val="772487552"/>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2483344"/>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1"/>
          <c:y val="0.850163204494098"/>
          <c:w val="0.554174427965785"/>
          <c:h val="0.110749229704212"/>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TAT</a:t>
            </a:r>
          </a:p>
        </c:rich>
      </c:tx>
      <c:layout>
        <c:manualLayout>
          <c:xMode val="edge"/>
          <c:yMode val="edge"/>
          <c:x val="0.461613531641878"/>
          <c:y val="0.0280067932684885"/>
        </c:manualLayout>
      </c:layout>
      <c:overlay val="0"/>
      <c:spPr>
        <a:noFill/>
        <a:ln w="25400">
          <a:noFill/>
        </a:ln>
      </c:spPr>
    </c:title>
    <c:autoTitleDeleted val="0"/>
    <c:plotArea>
      <c:layout>
        <c:manualLayout>
          <c:layoutTarget val="inner"/>
          <c:xMode val="edge"/>
          <c:yMode val="edge"/>
          <c:x val="0.124444714506759"/>
          <c:y val="0.205882775330668"/>
          <c:w val="0.804446190204406"/>
          <c:h val="0.483194268633199"/>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Calculations'!$B$66:$F$66</c:f>
              <c:numCache>
                <c:formatCode>0.00" X";[Red]\(0.00\)" X"</c:formatCode>
                <c:ptCount val="5"/>
                <c:pt idx="0">
                  <c:v>1.194133473680068</c:v>
                </c:pt>
                <c:pt idx="1">
                  <c:v>1.096689784703665</c:v>
                </c:pt>
                <c:pt idx="2">
                  <c:v>1.21816074916737</c:v>
                </c:pt>
                <c:pt idx="3">
                  <c:v>1.160785898154589</c:v>
                </c:pt>
                <c:pt idx="4">
                  <c:v>1.375115957779085</c:v>
                </c:pt>
              </c:numCache>
            </c:numRef>
          </c:yVal>
          <c:smooth val="0"/>
          <c:extLst xmlns:c16r2="http://schemas.microsoft.com/office/drawing/2015/06/chart">
            <c:ext xmlns:c16="http://schemas.microsoft.com/office/drawing/2014/chart" uri="{C3380CC4-5D6E-409C-BE32-E72D297353CC}">
              <c16:uniqueId val="{00000000-85E4-4D48-962D-7EE45B752481}"/>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Calculations'!$H$66:$L$66</c:f>
              <c:numCache>
                <c:formatCode>0.00" X";[Red]\(0.00\)" X"</c:formatCode>
                <c:ptCount val="5"/>
                <c:pt idx="0">
                  <c:v>1.308428002718711</c:v>
                </c:pt>
                <c:pt idx="1">
                  <c:v>1.393960959739731</c:v>
                </c:pt>
                <c:pt idx="2">
                  <c:v>1.424970609640038</c:v>
                </c:pt>
                <c:pt idx="3">
                  <c:v>1.473320188078265</c:v>
                </c:pt>
                <c:pt idx="4">
                  <c:v>1.404230223624858</c:v>
                </c:pt>
              </c:numCache>
            </c:numRef>
          </c:yVal>
          <c:smooth val="0"/>
          <c:extLst xmlns:c16r2="http://schemas.microsoft.com/office/drawing/2015/06/chart">
            <c:ext xmlns:c16="http://schemas.microsoft.com/office/drawing/2014/chart" uri="{C3380CC4-5D6E-409C-BE32-E72D297353CC}">
              <c16:uniqueId val="{00000001-85E4-4D48-962D-7EE45B752481}"/>
            </c:ext>
          </c:extLst>
        </c:ser>
        <c:dLbls>
          <c:showLegendKey val="0"/>
          <c:showVal val="0"/>
          <c:showCatName val="0"/>
          <c:showSerName val="0"/>
          <c:showPercent val="0"/>
          <c:showBubbleSize val="0"/>
        </c:dLbls>
        <c:axId val="772370528"/>
        <c:axId val="772415584"/>
      </c:scatterChart>
      <c:valAx>
        <c:axId val="77237052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2415584"/>
        <c:crosses val="autoZero"/>
        <c:crossBetween val="midCat"/>
      </c:valAx>
      <c:valAx>
        <c:axId val="77241558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2370528"/>
        <c:crosses val="autoZero"/>
        <c:crossBetween val="midCat"/>
      </c:valAx>
      <c:spPr>
        <a:solidFill>
          <a:srgbClr val="C0C0C0"/>
        </a:solidFill>
        <a:ln w="12700">
          <a:solidFill>
            <a:srgbClr val="808080"/>
          </a:solidFill>
          <a:prstDash val="solid"/>
        </a:ln>
      </c:spPr>
    </c:plotArea>
    <c:legend>
      <c:legendPos val="r"/>
      <c:layout>
        <c:manualLayout>
          <c:xMode val="edge"/>
          <c:yMode val="edge"/>
          <c:x val="0.220248811114607"/>
          <c:y val="0.83116981942688"/>
          <c:w val="0.515098025993839"/>
          <c:h val="0.10714298453549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ROA</a:t>
            </a:r>
          </a:p>
        </c:rich>
      </c:tx>
      <c:layout>
        <c:manualLayout>
          <c:xMode val="edge"/>
          <c:yMode val="edge"/>
          <c:x val="0.458698162729659"/>
          <c:y val="0.0280529308836396"/>
        </c:manualLayout>
      </c:layout>
      <c:overlay val="0"/>
      <c:spPr>
        <a:noFill/>
        <a:ln w="25400">
          <a:noFill/>
        </a:ln>
      </c:spPr>
    </c:title>
    <c:autoTitleDeleted val="0"/>
    <c:plotArea>
      <c:layout>
        <c:manualLayout>
          <c:layoutTarget val="inner"/>
          <c:xMode val="edge"/>
          <c:yMode val="edge"/>
          <c:x val="0.133333622685813"/>
          <c:y val="0.200000813805395"/>
          <c:w val="0.795557282025351"/>
          <c:h val="0.4875019836506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Calculations'!$B$77:$F$77</c:f>
              <c:numCache>
                <c:formatCode>0.00%</c:formatCode>
                <c:ptCount val="5"/>
                <c:pt idx="0">
                  <c:v>-0.302900553844943</c:v>
                </c:pt>
                <c:pt idx="1">
                  <c:v>-0.137265189285011</c:v>
                </c:pt>
                <c:pt idx="2">
                  <c:v>0.0368848597304418</c:v>
                </c:pt>
                <c:pt idx="3">
                  <c:v>0.0538259055039868</c:v>
                </c:pt>
                <c:pt idx="4">
                  <c:v>0.0479494921253993</c:v>
                </c:pt>
              </c:numCache>
            </c:numRef>
          </c:yVal>
          <c:smooth val="0"/>
          <c:extLst xmlns:c16r2="http://schemas.microsoft.com/office/drawing/2015/06/chart">
            <c:ext xmlns:c16="http://schemas.microsoft.com/office/drawing/2014/chart" uri="{C3380CC4-5D6E-409C-BE32-E72D297353CC}">
              <c16:uniqueId val="{00000000-08F2-477D-84E4-2C15BB22BB9F}"/>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Calculations'!$H$77:$L$77</c:f>
              <c:numCache>
                <c:formatCode>0.00%</c:formatCode>
                <c:ptCount val="5"/>
                <c:pt idx="0">
                  <c:v>0.132160889406738</c:v>
                </c:pt>
                <c:pt idx="1">
                  <c:v>0.153022061813745</c:v>
                </c:pt>
                <c:pt idx="2">
                  <c:v>0.142725186138947</c:v>
                </c:pt>
                <c:pt idx="3">
                  <c:v>0.129971181556196</c:v>
                </c:pt>
                <c:pt idx="4">
                  <c:v>0.111700855926935</c:v>
                </c:pt>
              </c:numCache>
            </c:numRef>
          </c:yVal>
          <c:smooth val="0"/>
          <c:extLst xmlns:c16r2="http://schemas.microsoft.com/office/drawing/2015/06/chart">
            <c:ext xmlns:c16="http://schemas.microsoft.com/office/drawing/2014/chart" uri="{C3380CC4-5D6E-409C-BE32-E72D297353CC}">
              <c16:uniqueId val="{00000001-08F2-477D-84E4-2C15BB22BB9F}"/>
            </c:ext>
          </c:extLst>
        </c:ser>
        <c:dLbls>
          <c:showLegendKey val="0"/>
          <c:showVal val="0"/>
          <c:showCatName val="0"/>
          <c:showSerName val="0"/>
          <c:showPercent val="0"/>
          <c:showBubbleSize val="0"/>
        </c:dLbls>
        <c:axId val="773936560"/>
        <c:axId val="773940800"/>
      </c:scatterChart>
      <c:valAx>
        <c:axId val="7739365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3940800"/>
        <c:crosses val="autoZero"/>
        <c:crossBetween val="midCat"/>
      </c:valAx>
      <c:valAx>
        <c:axId val="773940800"/>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3936560"/>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1"/>
          <c:y val="0.839231260472669"/>
          <c:w val="0.515098025993839"/>
          <c:h val="0.10610969959999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Debt Ratio</a:t>
            </a:r>
          </a:p>
        </c:rich>
      </c:tx>
      <c:layout>
        <c:manualLayout>
          <c:xMode val="edge"/>
          <c:yMode val="edge"/>
          <c:x val="0.418853776611257"/>
          <c:y val="0.028006477913665"/>
        </c:manualLayout>
      </c:layout>
      <c:overlay val="0"/>
      <c:spPr>
        <a:noFill/>
        <a:ln w="25400">
          <a:noFill/>
        </a:ln>
      </c:spPr>
    </c:title>
    <c:autoTitleDeleted val="0"/>
    <c:plotArea>
      <c:layout>
        <c:manualLayout>
          <c:layoutTarget val="inner"/>
          <c:xMode val="edge"/>
          <c:yMode val="edge"/>
          <c:x val="0.133333622685813"/>
          <c:y val="0.212766399531249"/>
          <c:w val="0.795557282025351"/>
          <c:h val="0.468086078968748"/>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Calculations'!$B$70:$F$70</c:f>
              <c:numCache>
                <c:formatCode>0.00%</c:formatCode>
                <c:ptCount val="5"/>
                <c:pt idx="0">
                  <c:v>0.770405202010762</c:v>
                </c:pt>
                <c:pt idx="1">
                  <c:v>0.645324790680194</c:v>
                </c:pt>
                <c:pt idx="2">
                  <c:v>0.533145727404841</c:v>
                </c:pt>
                <c:pt idx="3">
                  <c:v>0.548417910783555</c:v>
                </c:pt>
                <c:pt idx="4">
                  <c:v>0.511292796170498</c:v>
                </c:pt>
              </c:numCache>
            </c:numRef>
          </c:yVal>
          <c:smooth val="0"/>
          <c:extLst xmlns:c16r2="http://schemas.microsoft.com/office/drawing/2015/06/chart">
            <c:ext xmlns:c16="http://schemas.microsoft.com/office/drawing/2014/chart" uri="{C3380CC4-5D6E-409C-BE32-E72D297353CC}">
              <c16:uniqueId val="{00000000-AF76-4B2E-9295-C63F9185CFB9}"/>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Calculations'!$H$70:$L$70</c:f>
              <c:numCache>
                <c:formatCode>0.00%</c:formatCode>
                <c:ptCount val="5"/>
                <c:pt idx="0">
                  <c:v>0.556473929507719</c:v>
                </c:pt>
                <c:pt idx="1">
                  <c:v>0.508260471736478</c:v>
                </c:pt>
                <c:pt idx="2">
                  <c:v>0.537885573531881</c:v>
                </c:pt>
                <c:pt idx="3">
                  <c:v>0.583270134991658</c:v>
                </c:pt>
                <c:pt idx="4">
                  <c:v>0.578093370949489</c:v>
                </c:pt>
              </c:numCache>
            </c:numRef>
          </c:yVal>
          <c:smooth val="0"/>
          <c:extLst xmlns:c16r2="http://schemas.microsoft.com/office/drawing/2015/06/chart">
            <c:ext xmlns:c16="http://schemas.microsoft.com/office/drawing/2014/chart" uri="{C3380CC4-5D6E-409C-BE32-E72D297353CC}">
              <c16:uniqueId val="{00000001-AF76-4B2E-9295-C63F9185CFB9}"/>
            </c:ext>
          </c:extLst>
        </c:ser>
        <c:dLbls>
          <c:showLegendKey val="0"/>
          <c:showVal val="0"/>
          <c:showCatName val="0"/>
          <c:showSerName val="0"/>
          <c:showPercent val="0"/>
          <c:showBubbleSize val="0"/>
        </c:dLbls>
        <c:axId val="763462688"/>
        <c:axId val="763466896"/>
      </c:scatterChart>
      <c:valAx>
        <c:axId val="76346268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466896"/>
        <c:crosses val="autoZero"/>
        <c:crossBetween val="midCat"/>
      </c:valAx>
      <c:valAx>
        <c:axId val="763466896"/>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462688"/>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1"/>
          <c:y val="0.835529670834475"/>
          <c:w val="0.515098025993839"/>
          <c:h val="0.10855306747062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COGS as % of Sales</a:t>
            </a:r>
          </a:p>
        </c:rich>
      </c:tx>
      <c:layout>
        <c:manualLayout>
          <c:xMode val="edge"/>
          <c:yMode val="edge"/>
          <c:x val="0.348882822980461"/>
          <c:y val="0.0280526698868524"/>
        </c:manualLayout>
      </c:layout>
      <c:overlay val="0"/>
      <c:spPr>
        <a:noFill/>
        <a:ln w="25400">
          <a:noFill/>
        </a:ln>
      </c:spPr>
    </c:title>
    <c:autoTitleDeleted val="0"/>
    <c:plotArea>
      <c:layout>
        <c:manualLayout>
          <c:layoutTarget val="inner"/>
          <c:xMode val="edge"/>
          <c:yMode val="edge"/>
          <c:x val="0.133333622685813"/>
          <c:y val="0.226891221792981"/>
          <c:w val="0.795557282025351"/>
          <c:h val="0.462185822170887"/>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Calculations'!$N$7:$R$7</c:f>
              <c:numCache>
                <c:formatCode>0.00%</c:formatCode>
                <c:ptCount val="5"/>
                <c:pt idx="0">
                  <c:v>0.64097135407549</c:v>
                </c:pt>
                <c:pt idx="1">
                  <c:v>0.596620813808078</c:v>
                </c:pt>
                <c:pt idx="2">
                  <c:v>0.532330053111773</c:v>
                </c:pt>
                <c:pt idx="3">
                  <c:v>0.508160962889444</c:v>
                </c:pt>
                <c:pt idx="4">
                  <c:v>0.526774138664398</c:v>
                </c:pt>
              </c:numCache>
            </c:numRef>
          </c:yVal>
          <c:smooth val="0"/>
          <c:extLst xmlns:c16r2="http://schemas.microsoft.com/office/drawing/2015/06/chart">
            <c:ext xmlns:c16="http://schemas.microsoft.com/office/drawing/2014/chart" uri="{C3380CC4-5D6E-409C-BE32-E72D297353CC}">
              <c16:uniqueId val="{00000000-6C4A-49AE-BC55-77451F765F05}"/>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Calculations'!$T$7:$X$7</c:f>
              <c:numCache>
                <c:formatCode>0.00%</c:formatCode>
                <c:ptCount val="5"/>
                <c:pt idx="0">
                  <c:v>0.19485362324218</c:v>
                </c:pt>
                <c:pt idx="1">
                  <c:v>0.196758077456057</c:v>
                </c:pt>
                <c:pt idx="2">
                  <c:v>0.198974630955538</c:v>
                </c:pt>
                <c:pt idx="3">
                  <c:v>0.205464503376709</c:v>
                </c:pt>
                <c:pt idx="4">
                  <c:v>0.219852440408627</c:v>
                </c:pt>
              </c:numCache>
            </c:numRef>
          </c:yVal>
          <c:smooth val="0"/>
          <c:extLst xmlns:c16r2="http://schemas.microsoft.com/office/drawing/2015/06/chart">
            <c:ext xmlns:c16="http://schemas.microsoft.com/office/drawing/2014/chart" uri="{C3380CC4-5D6E-409C-BE32-E72D297353CC}">
              <c16:uniqueId val="{00000001-6C4A-49AE-BC55-77451F765F05}"/>
            </c:ext>
          </c:extLst>
        </c:ser>
        <c:dLbls>
          <c:showLegendKey val="0"/>
          <c:showVal val="0"/>
          <c:showCatName val="0"/>
          <c:showSerName val="0"/>
          <c:showPercent val="0"/>
          <c:showBubbleSize val="0"/>
        </c:dLbls>
        <c:axId val="763547936"/>
        <c:axId val="763552144"/>
      </c:scatterChart>
      <c:valAx>
        <c:axId val="7635479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552144"/>
        <c:crosses val="autoZero"/>
        <c:crossBetween val="midCat"/>
      </c:valAx>
      <c:valAx>
        <c:axId val="76355214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547936"/>
        <c:crosses val="autoZero"/>
        <c:crossBetween val="midCat"/>
      </c:valAx>
      <c:spPr>
        <a:solidFill>
          <a:srgbClr val="C0C0C0"/>
        </a:solidFill>
        <a:ln w="12700">
          <a:solidFill>
            <a:srgbClr val="808080"/>
          </a:solidFill>
          <a:prstDash val="solid"/>
        </a:ln>
      </c:spPr>
    </c:plotArea>
    <c:legend>
      <c:legendPos val="r"/>
      <c:layout>
        <c:manualLayout>
          <c:xMode val="edge"/>
          <c:yMode val="edge"/>
          <c:x val="0.207815410487169"/>
          <c:y val="0.837663333641152"/>
          <c:w val="0.554174427965785"/>
          <c:h val="0.110389741642632"/>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Operating Expenses (exclude dep.) as % of Sales</a:t>
            </a:r>
          </a:p>
        </c:rich>
      </c:tx>
      <c:layout>
        <c:manualLayout>
          <c:xMode val="edge"/>
          <c:yMode val="edge"/>
          <c:x val="0.209912627588218"/>
          <c:y val="0.0279606188466948"/>
        </c:manualLayout>
      </c:layout>
      <c:overlay val="0"/>
      <c:spPr>
        <a:noFill/>
        <a:ln w="25400">
          <a:noFill/>
        </a:ln>
      </c:spPr>
    </c:title>
    <c:autoTitleDeleted val="0"/>
    <c:plotArea>
      <c:layout>
        <c:manualLayout>
          <c:layoutTarget val="inner"/>
          <c:xMode val="edge"/>
          <c:yMode val="edge"/>
          <c:x val="0.133333622685813"/>
          <c:y val="0.206751906777042"/>
          <c:w val="0.795557282025351"/>
          <c:h val="0.476795213587872"/>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Calculations'!$N$8:$R$8</c:f>
              <c:numCache>
                <c:formatCode>0.00%</c:formatCode>
                <c:ptCount val="5"/>
                <c:pt idx="0">
                  <c:v>0.511795925848884</c:v>
                </c:pt>
                <c:pt idx="1">
                  <c:v>0.42068308620429</c:v>
                </c:pt>
                <c:pt idx="2">
                  <c:v>0.384708926511484</c:v>
                </c:pt>
                <c:pt idx="3">
                  <c:v>0.391644653481098</c:v>
                </c:pt>
                <c:pt idx="4">
                  <c:v>0.386181199489579</c:v>
                </c:pt>
              </c:numCache>
            </c:numRef>
          </c:yVal>
          <c:smooth val="0"/>
          <c:extLst xmlns:c16r2="http://schemas.microsoft.com/office/drawing/2015/06/chart">
            <c:ext xmlns:c16="http://schemas.microsoft.com/office/drawing/2014/chart" uri="{C3380CC4-5D6E-409C-BE32-E72D297353CC}">
              <c16:uniqueId val="{00000000-9BC6-4903-A064-5593695E8703}"/>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Calculations'!$T$8:$X$8</c:f>
              <c:numCache>
                <c:formatCode>0.00%</c:formatCode>
                <c:ptCount val="5"/>
                <c:pt idx="0">
                  <c:v>0.656144484434715</c:v>
                </c:pt>
                <c:pt idx="1">
                  <c:v>0.636888264896798</c:v>
                </c:pt>
                <c:pt idx="2">
                  <c:v>0.64792716344029</c:v>
                </c:pt>
                <c:pt idx="3">
                  <c:v>0.651128314939878</c:v>
                </c:pt>
                <c:pt idx="4">
                  <c:v>0.646617480136209</c:v>
                </c:pt>
              </c:numCache>
            </c:numRef>
          </c:yVal>
          <c:smooth val="0"/>
          <c:extLst xmlns:c16r2="http://schemas.microsoft.com/office/drawing/2015/06/chart">
            <c:ext xmlns:c16="http://schemas.microsoft.com/office/drawing/2014/chart" uri="{C3380CC4-5D6E-409C-BE32-E72D297353CC}">
              <c16:uniqueId val="{00000001-9BC6-4903-A064-5593695E8703}"/>
            </c:ext>
          </c:extLst>
        </c:ser>
        <c:dLbls>
          <c:showLegendKey val="0"/>
          <c:showVal val="0"/>
          <c:showCatName val="0"/>
          <c:showSerName val="0"/>
          <c:showPercent val="0"/>
          <c:showBubbleSize val="0"/>
        </c:dLbls>
        <c:axId val="763624912"/>
        <c:axId val="763636368"/>
      </c:scatterChart>
      <c:valAx>
        <c:axId val="76362491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636368"/>
        <c:crosses val="autoZero"/>
        <c:crossBetween val="midCat"/>
      </c:valAx>
      <c:valAx>
        <c:axId val="76363636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624912"/>
        <c:crosses val="autoZero"/>
        <c:crossBetween val="midCat"/>
      </c:valAx>
      <c:spPr>
        <a:solidFill>
          <a:srgbClr val="C0C0C0"/>
        </a:solidFill>
        <a:ln w="12700">
          <a:solidFill>
            <a:srgbClr val="808080"/>
          </a:solidFill>
          <a:prstDash val="solid"/>
        </a:ln>
      </c:spPr>
    </c:plotArea>
    <c:legend>
      <c:legendPos val="r"/>
      <c:layout>
        <c:manualLayout>
          <c:xMode val="edge"/>
          <c:yMode val="edge"/>
          <c:x val="0.222025011204241"/>
          <c:y val="0.833876553067008"/>
          <c:w val="0.515098025993839"/>
          <c:h val="0.1074918994187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el"/>
                <a:ea typeface="Ariel"/>
                <a:cs typeface="Ariel"/>
              </a:defRPr>
            </a:pPr>
            <a:r>
              <a:rPr lang="en-US"/>
              <a:t>Interest Expense as % of Sales</a:t>
            </a:r>
          </a:p>
        </c:rich>
      </c:tx>
      <c:layout>
        <c:manualLayout>
          <c:xMode val="edge"/>
          <c:yMode val="edge"/>
          <c:x val="0.278911847428467"/>
          <c:y val="0.0280064573518268"/>
        </c:manualLayout>
      </c:layout>
      <c:overlay val="0"/>
      <c:spPr>
        <a:noFill/>
        <a:ln w="25400">
          <a:noFill/>
        </a:ln>
      </c:spPr>
    </c:title>
    <c:autoTitleDeleted val="0"/>
    <c:plotArea>
      <c:layout>
        <c:manualLayout>
          <c:layoutTarget val="inner"/>
          <c:xMode val="edge"/>
          <c:yMode val="edge"/>
          <c:x val="0.134228481168906"/>
          <c:y val="0.221757322175732"/>
          <c:w val="0.798659462954993"/>
          <c:h val="0.46861924686192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Calculations'!$N$12:$R$12</c:f>
              <c:numCache>
                <c:formatCode>0.00%</c:formatCode>
                <c:ptCount val="5"/>
                <c:pt idx="0">
                  <c:v>0.0305077345437845</c:v>
                </c:pt>
                <c:pt idx="1">
                  <c:v>0.0221806332366805</c:v>
                </c:pt>
                <c:pt idx="2">
                  <c:v>0.018080017969198</c:v>
                </c:pt>
                <c:pt idx="3">
                  <c:v>0.0175720539816341</c:v>
                </c:pt>
                <c:pt idx="4">
                  <c:v>0.0182739259889409</c:v>
                </c:pt>
              </c:numCache>
            </c:numRef>
          </c:yVal>
          <c:smooth val="0"/>
          <c:extLst xmlns:c16r2="http://schemas.microsoft.com/office/drawing/2015/06/chart">
            <c:ext xmlns:c16="http://schemas.microsoft.com/office/drawing/2014/chart" uri="{C3380CC4-5D6E-409C-BE32-E72D297353CC}">
              <c16:uniqueId val="{00000000-5348-4161-98F1-85AD26888137}"/>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Calculations'!$T$12:$X$12</c:f>
              <c:numCache>
                <c:formatCode>0.00%</c:formatCode>
                <c:ptCount val="5"/>
                <c:pt idx="0">
                  <c:v>0.00423917479870877</c:v>
                </c:pt>
                <c:pt idx="1">
                  <c:v>0.00463131791991831</c:v>
                </c:pt>
                <c:pt idx="2">
                  <c:v>0.00498934362630995</c:v>
                </c:pt>
                <c:pt idx="3">
                  <c:v>0.00520919123702849</c:v>
                </c:pt>
                <c:pt idx="4">
                  <c:v>0.00725312145289444</c:v>
                </c:pt>
              </c:numCache>
            </c:numRef>
          </c:yVal>
          <c:smooth val="0"/>
          <c:extLst xmlns:c16r2="http://schemas.microsoft.com/office/drawing/2015/06/chart">
            <c:ext xmlns:c16="http://schemas.microsoft.com/office/drawing/2014/chart" uri="{C3380CC4-5D6E-409C-BE32-E72D297353CC}">
              <c16:uniqueId val="{00000001-5348-4161-98F1-85AD26888137}"/>
            </c:ext>
          </c:extLst>
        </c:ser>
        <c:dLbls>
          <c:showLegendKey val="0"/>
          <c:showVal val="0"/>
          <c:showCatName val="0"/>
          <c:showSerName val="0"/>
          <c:showPercent val="0"/>
          <c:showBubbleSize val="0"/>
        </c:dLbls>
        <c:axId val="763707184"/>
        <c:axId val="763711392"/>
      </c:scatterChart>
      <c:valAx>
        <c:axId val="763707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711392"/>
        <c:crosses val="autoZero"/>
        <c:crossBetween val="midCat"/>
      </c:valAx>
      <c:valAx>
        <c:axId val="763711392"/>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707184"/>
        <c:crosses val="autoZero"/>
        <c:crossBetween val="midCat"/>
      </c:valAx>
      <c:spPr>
        <a:solidFill>
          <a:srgbClr val="C0C0C0"/>
        </a:solidFill>
        <a:ln w="12700">
          <a:solidFill>
            <a:srgbClr val="808080"/>
          </a:solidFill>
          <a:prstDash val="solid"/>
        </a:ln>
      </c:spPr>
    </c:plotArea>
    <c:legend>
      <c:legendPos val="r"/>
      <c:layout>
        <c:manualLayout>
          <c:xMode val="edge"/>
          <c:yMode val="edge"/>
          <c:x val="0.23255864737937"/>
          <c:y val="0.84142561024413"/>
          <c:w val="0.518784674923209"/>
          <c:h val="0.10679632745406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Taxes as % of Sales</a:t>
            </a:r>
          </a:p>
        </c:rich>
      </c:tx>
      <c:layout>
        <c:manualLayout>
          <c:xMode val="edge"/>
          <c:yMode val="edge"/>
          <c:x val="0.35374174640726"/>
          <c:y val="0.028006689037288"/>
        </c:manualLayout>
      </c:layout>
      <c:overlay val="0"/>
      <c:spPr>
        <a:noFill/>
        <a:ln w="25400">
          <a:noFill/>
        </a:ln>
      </c:spPr>
    </c:title>
    <c:autoTitleDeleted val="0"/>
    <c:plotArea>
      <c:layout>
        <c:manualLayout>
          <c:layoutTarget val="inner"/>
          <c:xMode val="edge"/>
          <c:yMode val="edge"/>
          <c:x val="0.134529147982063"/>
          <c:y val="0.206751906777042"/>
          <c:w val="0.798206278026905"/>
          <c:h val="0.476795213587872"/>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Calculations'!$N$15:$R$15</c:f>
              <c:numCache>
                <c:formatCode>0.00%</c:formatCode>
                <c:ptCount val="5"/>
                <c:pt idx="0">
                  <c:v>0.00648441248977961</c:v>
                </c:pt>
                <c:pt idx="1">
                  <c:v>0.0488119941183746</c:v>
                </c:pt>
                <c:pt idx="2">
                  <c:v>0.00516168187528216</c:v>
                </c:pt>
                <c:pt idx="3">
                  <c:v>0.0129963263351458</c:v>
                </c:pt>
                <c:pt idx="4">
                  <c:v>0.00734751169715015</c:v>
                </c:pt>
              </c:numCache>
            </c:numRef>
          </c:yVal>
          <c:smooth val="0"/>
          <c:extLst xmlns:c16r2="http://schemas.microsoft.com/office/drawing/2015/06/chart">
            <c:ext xmlns:c16="http://schemas.microsoft.com/office/drawing/2014/chart" uri="{C3380CC4-5D6E-409C-BE32-E72D297353CC}">
              <c16:uniqueId val="{00000000-B08F-439D-984C-6583F5E32711}"/>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Calculations'!$T$15:$X$15</c:f>
              <c:numCache>
                <c:formatCode>0.00%</c:formatCode>
                <c:ptCount val="5"/>
                <c:pt idx="0">
                  <c:v>0.0433379095395347</c:v>
                </c:pt>
                <c:pt idx="1">
                  <c:v>0.051755889431843</c:v>
                </c:pt>
                <c:pt idx="2">
                  <c:v>0.0443344431676439</c:v>
                </c:pt>
                <c:pt idx="3">
                  <c:v>0.0412411464338659</c:v>
                </c:pt>
                <c:pt idx="4">
                  <c:v>0.0365153234960272</c:v>
                </c:pt>
              </c:numCache>
            </c:numRef>
          </c:yVal>
          <c:smooth val="0"/>
          <c:extLst xmlns:c16r2="http://schemas.microsoft.com/office/drawing/2015/06/chart">
            <c:ext xmlns:c16="http://schemas.microsoft.com/office/drawing/2014/chart" uri="{C3380CC4-5D6E-409C-BE32-E72D297353CC}">
              <c16:uniqueId val="{00000001-B08F-439D-984C-6583F5E32711}"/>
            </c:ext>
          </c:extLst>
        </c:ser>
        <c:dLbls>
          <c:showLegendKey val="0"/>
          <c:showVal val="0"/>
          <c:showCatName val="0"/>
          <c:showSerName val="0"/>
          <c:showPercent val="0"/>
          <c:showBubbleSize val="0"/>
        </c:dLbls>
        <c:axId val="763823504"/>
        <c:axId val="763827808"/>
      </c:scatterChart>
      <c:valAx>
        <c:axId val="76382350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827808"/>
        <c:crosses val="autoZero"/>
        <c:crossBetween val="midCat"/>
      </c:valAx>
      <c:valAx>
        <c:axId val="76382780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3823504"/>
        <c:crosses val="autoZero"/>
        <c:crossBetween val="midCat"/>
      </c:valAx>
      <c:spPr>
        <a:solidFill>
          <a:srgbClr val="C0C0C0"/>
        </a:solidFill>
        <a:ln w="12700">
          <a:solidFill>
            <a:srgbClr val="808080"/>
          </a:solidFill>
          <a:prstDash val="solid"/>
        </a:ln>
      </c:spPr>
    </c:plotArea>
    <c:legend>
      <c:legendPos val="r"/>
      <c:layout>
        <c:manualLayout>
          <c:xMode val="edge"/>
          <c:yMode val="edge"/>
          <c:x val="0.233393484636434"/>
          <c:y val="0.833876553067008"/>
          <c:w val="0.520647004188968"/>
          <c:h val="0.1074918994187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Cash Cycle</a:t>
            </a:r>
          </a:p>
        </c:rich>
      </c:tx>
      <c:layout>
        <c:manualLayout>
          <c:xMode val="edge"/>
          <c:yMode val="edge"/>
          <c:x val="0.414966384235528"/>
          <c:y val="0.0280067932684885"/>
        </c:manualLayout>
      </c:layout>
      <c:overlay val="0"/>
      <c:spPr>
        <a:noFill/>
        <a:ln w="25400">
          <a:noFill/>
        </a:ln>
      </c:spPr>
    </c:title>
    <c:autoTitleDeleted val="0"/>
    <c:plotArea>
      <c:layout>
        <c:manualLayout>
          <c:layoutTarget val="inner"/>
          <c:xMode val="edge"/>
          <c:yMode val="edge"/>
          <c:x val="0.147651329285797"/>
          <c:y val="0.201681086038205"/>
          <c:w val="0.780762332132472"/>
          <c:h val="0.495799336510587"/>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Calculations'!$B$68:$F$68</c:f>
              <c:numCache>
                <c:formatCode>0.00" days";[Red]\(0.00\)" days"</c:formatCode>
                <c:ptCount val="5"/>
                <c:pt idx="0">
                  <c:v>126.4319303622443</c:v>
                </c:pt>
                <c:pt idx="1">
                  <c:v>185.5382372131006</c:v>
                </c:pt>
                <c:pt idx="2">
                  <c:v>157.316111241033</c:v>
                </c:pt>
                <c:pt idx="3">
                  <c:v>179.6060145022562</c:v>
                </c:pt>
                <c:pt idx="4">
                  <c:v>168.469293023296</c:v>
                </c:pt>
              </c:numCache>
            </c:numRef>
          </c:yVal>
          <c:smooth val="0"/>
          <c:extLst xmlns:c16r2="http://schemas.microsoft.com/office/drawing/2015/06/chart">
            <c:ext xmlns:c16="http://schemas.microsoft.com/office/drawing/2014/chart" uri="{C3380CC4-5D6E-409C-BE32-E72D297353CC}">
              <c16:uniqueId val="{00000000-6051-4203-9328-0650C2AB0E6F}"/>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Calculations'!$H$68:$L$68</c:f>
              <c:numCache>
                <c:formatCode>0.00" days";[Red]\(0.00\)" days"</c:formatCode>
                <c:ptCount val="5"/>
                <c:pt idx="0">
                  <c:v>140.6161510433916</c:v>
                </c:pt>
                <c:pt idx="1">
                  <c:v>176.0375646028292</c:v>
                </c:pt>
                <c:pt idx="2">
                  <c:v>155.9053161104054</c:v>
                </c:pt>
                <c:pt idx="3">
                  <c:v>129.4186364964267</c:v>
                </c:pt>
                <c:pt idx="4">
                  <c:v>142.6141002077521</c:v>
                </c:pt>
              </c:numCache>
            </c:numRef>
          </c:yVal>
          <c:smooth val="0"/>
          <c:extLst xmlns:c16r2="http://schemas.microsoft.com/office/drawing/2015/06/chart">
            <c:ext xmlns:c16="http://schemas.microsoft.com/office/drawing/2014/chart" uri="{C3380CC4-5D6E-409C-BE32-E72D297353CC}">
              <c16:uniqueId val="{00000001-6051-4203-9328-0650C2AB0E6F}"/>
            </c:ext>
          </c:extLst>
        </c:ser>
        <c:dLbls>
          <c:showLegendKey val="0"/>
          <c:showVal val="0"/>
          <c:showCatName val="0"/>
          <c:showSerName val="0"/>
          <c:showPercent val="0"/>
          <c:showBubbleSize val="0"/>
        </c:dLbls>
        <c:axId val="764889040"/>
        <c:axId val="764893248"/>
      </c:scatterChart>
      <c:valAx>
        <c:axId val="7648890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4893248"/>
        <c:crosses val="autoZero"/>
        <c:crossBetween val="midCat"/>
      </c:valAx>
      <c:valAx>
        <c:axId val="76489324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4889040"/>
        <c:crosses val="autoZero"/>
        <c:crossBetween val="midCat"/>
      </c:valAx>
      <c:spPr>
        <a:solidFill>
          <a:srgbClr val="C0C0C0"/>
        </a:solidFill>
        <a:ln w="12700">
          <a:solidFill>
            <a:srgbClr val="808080"/>
          </a:solidFill>
          <a:prstDash val="solid"/>
        </a:ln>
      </c:spPr>
    </c:plotArea>
    <c:legend>
      <c:legendPos val="r"/>
      <c:layout>
        <c:manualLayout>
          <c:xMode val="edge"/>
          <c:yMode val="edge"/>
          <c:x val="0.215054139809693"/>
          <c:y val="0.840910090748288"/>
          <c:w val="0.519714171206757"/>
          <c:h val="0.10714298453549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Inventory Period (# of days)</a:t>
            </a:r>
          </a:p>
        </c:rich>
      </c:tx>
      <c:layout>
        <c:manualLayout>
          <c:xMode val="edge"/>
          <c:yMode val="edge"/>
          <c:x val="0.257531866812613"/>
          <c:y val="0.0280529308836396"/>
        </c:manualLayout>
      </c:layout>
      <c:overlay val="0"/>
      <c:spPr>
        <a:noFill/>
        <a:ln w="25400">
          <a:noFill/>
        </a:ln>
      </c:spPr>
    </c:title>
    <c:autoTitleDeleted val="0"/>
    <c:plotArea>
      <c:layout>
        <c:manualLayout>
          <c:layoutTarget val="inner"/>
          <c:xMode val="edge"/>
          <c:yMode val="edge"/>
          <c:x val="0.147982062780269"/>
          <c:y val="0.200000813805395"/>
          <c:w val="0.782511210762332"/>
          <c:h val="0.4875019836506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Calculations'!$B$62:$F$62</c:f>
              <c:numCache>
                <c:formatCode>0.00" days";[Red]\(0.00\)" days"</c:formatCode>
                <c:ptCount val="5"/>
                <c:pt idx="0">
                  <c:v>141.1690331370111</c:v>
                </c:pt>
                <c:pt idx="1">
                  <c:v>178.0347600511338</c:v>
                </c:pt>
                <c:pt idx="2">
                  <c:v>158.5666522291926</c:v>
                </c:pt>
                <c:pt idx="3">
                  <c:v>169.3708541387892</c:v>
                </c:pt>
                <c:pt idx="4">
                  <c:v>145.307280252833</c:v>
                </c:pt>
              </c:numCache>
            </c:numRef>
          </c:yVal>
          <c:smooth val="0"/>
          <c:extLst xmlns:c16r2="http://schemas.microsoft.com/office/drawing/2015/06/chart">
            <c:ext xmlns:c16="http://schemas.microsoft.com/office/drawing/2014/chart" uri="{C3380CC4-5D6E-409C-BE32-E72D297353CC}">
              <c16:uniqueId val="{00000000-6806-4C3B-8355-5AF83D0A5E2C}"/>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Calculations'!$H$62:$L$62</c:f>
              <c:numCache>
                <c:formatCode>0.00" days";[Red]\(0.00\)" days"</c:formatCode>
                <c:ptCount val="5"/>
                <c:pt idx="0">
                  <c:v>211.2572598305246</c:v>
                </c:pt>
                <c:pt idx="1">
                  <c:v>218.8444073765175</c:v>
                </c:pt>
                <c:pt idx="2">
                  <c:v>200.6878424403968</c:v>
                </c:pt>
                <c:pt idx="3">
                  <c:v>179.8847579917828</c:v>
                </c:pt>
                <c:pt idx="4">
                  <c:v>187.6162940781661</c:v>
                </c:pt>
              </c:numCache>
            </c:numRef>
          </c:yVal>
          <c:smooth val="0"/>
          <c:extLst xmlns:c16r2="http://schemas.microsoft.com/office/drawing/2015/06/chart">
            <c:ext xmlns:c16="http://schemas.microsoft.com/office/drawing/2014/chart" uri="{C3380CC4-5D6E-409C-BE32-E72D297353CC}">
              <c16:uniqueId val="{00000001-6806-4C3B-8355-5AF83D0A5E2C}"/>
            </c:ext>
          </c:extLst>
        </c:ser>
        <c:dLbls>
          <c:showLegendKey val="0"/>
          <c:showVal val="0"/>
          <c:showCatName val="0"/>
          <c:showSerName val="0"/>
          <c:showPercent val="0"/>
          <c:showBubbleSize val="0"/>
        </c:dLbls>
        <c:axId val="774027776"/>
        <c:axId val="774031968"/>
      </c:scatterChart>
      <c:valAx>
        <c:axId val="77402777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031968"/>
        <c:crosses val="autoZero"/>
        <c:crossBetween val="midCat"/>
      </c:valAx>
      <c:valAx>
        <c:axId val="774031968"/>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027776"/>
        <c:crosses val="autoZero"/>
        <c:crossBetween val="midCat"/>
      </c:valAx>
      <c:spPr>
        <a:solidFill>
          <a:srgbClr val="C0C0C0"/>
        </a:solidFill>
        <a:ln w="12700">
          <a:solidFill>
            <a:srgbClr val="808080"/>
          </a:solidFill>
          <a:prstDash val="solid"/>
        </a:ln>
      </c:spPr>
    </c:plotArea>
    <c:legend>
      <c:legendPos val="r"/>
      <c:layout>
        <c:manualLayout>
          <c:xMode val="edge"/>
          <c:yMode val="edge"/>
          <c:x val="0.215440139664401"/>
          <c:y val="0.836015815030245"/>
          <c:w val="0.520647004188968"/>
          <c:h val="0.10610969959999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DSO</a:t>
            </a:r>
          </a:p>
        </c:rich>
      </c:tx>
      <c:layout>
        <c:manualLayout>
          <c:xMode val="edge"/>
          <c:yMode val="edge"/>
          <c:x val="0.460641782193333"/>
          <c:y val="0.028006477913665"/>
        </c:manualLayout>
      </c:layout>
      <c:overlay val="0"/>
      <c:spPr>
        <a:noFill/>
        <a:ln w="25400">
          <a:noFill/>
        </a:ln>
      </c:spPr>
    </c:title>
    <c:autoTitleDeleted val="0"/>
    <c:plotArea>
      <c:layout>
        <c:manualLayout>
          <c:layoutTarget val="inner"/>
          <c:xMode val="edge"/>
          <c:yMode val="edge"/>
          <c:x val="0.147651329285797"/>
          <c:y val="0.208511071540624"/>
          <c:w val="0.782999473485287"/>
          <c:h val="0.476596734949998"/>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Calculations'!$B$64:$F$64</c:f>
              <c:numCache>
                <c:formatCode>0.00" days";[Red]\(0.00\)" days"</c:formatCode>
                <c:ptCount val="5"/>
                <c:pt idx="0">
                  <c:v>39.6212431701023</c:v>
                </c:pt>
                <c:pt idx="1">
                  <c:v>50.41139599279913</c:v>
                </c:pt>
                <c:pt idx="2">
                  <c:v>57.48767034851765</c:v>
                </c:pt>
                <c:pt idx="3">
                  <c:v>55.45745162819507</c:v>
                </c:pt>
                <c:pt idx="4">
                  <c:v>51.42665248830285</c:v>
                </c:pt>
              </c:numCache>
            </c:numRef>
          </c:yVal>
          <c:smooth val="0"/>
          <c:extLst xmlns:c16r2="http://schemas.microsoft.com/office/drawing/2015/06/chart">
            <c:ext xmlns:c16="http://schemas.microsoft.com/office/drawing/2014/chart" uri="{C3380CC4-5D6E-409C-BE32-E72D297353CC}">
              <c16:uniqueId val="{00000000-3DE6-4EF0-9729-2C4F9FF31FAA}"/>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Calculations'!$H$64:$L$64</c:f>
              <c:numCache>
                <c:formatCode>0.00" days";[Red]\(0.00\)" days"</c:formatCode>
                <c:ptCount val="5"/>
                <c:pt idx="0">
                  <c:v>39.76591777670587</c:v>
                </c:pt>
                <c:pt idx="1">
                  <c:v>45.8978648530377</c:v>
                </c:pt>
                <c:pt idx="2">
                  <c:v>42.00384022314545</c:v>
                </c:pt>
                <c:pt idx="3">
                  <c:v>39.84202561357272</c:v>
                </c:pt>
                <c:pt idx="4">
                  <c:v>39.17639046538025</c:v>
                </c:pt>
              </c:numCache>
            </c:numRef>
          </c:yVal>
          <c:smooth val="0"/>
          <c:extLst xmlns:c16r2="http://schemas.microsoft.com/office/drawing/2015/06/chart">
            <c:ext xmlns:c16="http://schemas.microsoft.com/office/drawing/2014/chart" uri="{C3380CC4-5D6E-409C-BE32-E72D297353CC}">
              <c16:uniqueId val="{00000001-3DE6-4EF0-9729-2C4F9FF31FAA}"/>
            </c:ext>
          </c:extLst>
        </c:ser>
        <c:dLbls>
          <c:showLegendKey val="0"/>
          <c:showVal val="0"/>
          <c:showCatName val="0"/>
          <c:showSerName val="0"/>
          <c:showPercent val="0"/>
          <c:showBubbleSize val="0"/>
        </c:dLbls>
        <c:axId val="744853568"/>
        <c:axId val="744857760"/>
      </c:scatterChart>
      <c:valAx>
        <c:axId val="7448535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857760"/>
        <c:crosses val="autoZero"/>
        <c:crossBetween val="midCat"/>
      </c:valAx>
      <c:valAx>
        <c:axId val="744857760"/>
        <c:scaling>
          <c:orientation val="minMax"/>
        </c:scaling>
        <c:delete val="0"/>
        <c:axPos val="l"/>
        <c:majorGridlines>
          <c:spPr>
            <a:ln w="3175">
              <a:solidFill>
                <a:srgbClr val="000000"/>
              </a:solidFill>
              <a:prstDash val="solid"/>
            </a:ln>
          </c:spPr>
        </c:majorGridlines>
        <c:numFmt formatCode="0&quot; days&quot;;[Red]\(0\)&quot; days&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853568"/>
        <c:crosses val="autoZero"/>
        <c:crossBetween val="midCat"/>
      </c:valAx>
      <c:spPr>
        <a:solidFill>
          <a:srgbClr val="C0C0C0"/>
        </a:solidFill>
        <a:ln w="12700">
          <a:solidFill>
            <a:srgbClr val="808080"/>
          </a:solidFill>
          <a:prstDash val="solid"/>
        </a:ln>
      </c:spPr>
    </c:plotArea>
    <c:legend>
      <c:legendPos val="r"/>
      <c:layout>
        <c:manualLayout>
          <c:xMode val="edge"/>
          <c:yMode val="edge"/>
          <c:x val="0.222222611136682"/>
          <c:y val="0.832240183941425"/>
          <c:w val="0.519714171206757"/>
          <c:h val="0.108553067470621"/>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75" b="0" i="0" u="none" strike="noStrike" baseline="0">
                <a:solidFill>
                  <a:srgbClr val="000000"/>
                </a:solidFill>
                <a:latin typeface="Ariel"/>
                <a:ea typeface="Ariel"/>
                <a:cs typeface="Ariel"/>
              </a:defRPr>
            </a:pPr>
            <a:r>
              <a:rPr lang="en-US"/>
              <a:t>FAT</a:t>
            </a:r>
          </a:p>
        </c:rich>
      </c:tx>
      <c:layout>
        <c:manualLayout>
          <c:xMode val="edge"/>
          <c:yMode val="edge"/>
          <c:x val="0.462585506433077"/>
          <c:y val="0.0280527592278813"/>
        </c:manualLayout>
      </c:layout>
      <c:overlay val="0"/>
      <c:spPr>
        <a:noFill/>
        <a:ln w="25400">
          <a:noFill/>
        </a:ln>
      </c:spPr>
    </c:title>
    <c:autoTitleDeleted val="0"/>
    <c:plotArea>
      <c:layout>
        <c:manualLayout>
          <c:layoutTarget val="inner"/>
          <c:xMode val="edge"/>
          <c:yMode val="edge"/>
          <c:x val="0.124721603563474"/>
          <c:y val="0.227849040121638"/>
          <c:w val="0.808463251670379"/>
          <c:h val="0.455698080243276"/>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Calculations'!$B$65:$F$65</c:f>
              <c:numCache>
                <c:formatCode>0.00" X";[Red]\(0.00\)" X"</c:formatCode>
                <c:ptCount val="5"/>
                <c:pt idx="0">
                  <c:v>2.494318356946913</c:v>
                </c:pt>
                <c:pt idx="1">
                  <c:v>2.565139514645457</c:v>
                </c:pt>
                <c:pt idx="2">
                  <c:v>3.014267362847016</c:v>
                </c:pt>
                <c:pt idx="3">
                  <c:v>2.799894631402103</c:v>
                </c:pt>
                <c:pt idx="4">
                  <c:v>3.912555792612908</c:v>
                </c:pt>
              </c:numCache>
            </c:numRef>
          </c:yVal>
          <c:smooth val="0"/>
          <c:extLst xmlns:c16r2="http://schemas.microsoft.com/office/drawing/2015/06/chart">
            <c:ext xmlns:c16="http://schemas.microsoft.com/office/drawing/2014/chart" uri="{C3380CC4-5D6E-409C-BE32-E72D297353CC}">
              <c16:uniqueId val="{00000000-A777-420C-884C-0E945DD31AB7}"/>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Calculations'!$H$65:$L$65</c:f>
              <c:numCache>
                <c:formatCode>0.00" X";[Red]\(0.00\)" X"</c:formatCode>
                <c:ptCount val="5"/>
                <c:pt idx="0">
                  <c:v>2.858991699154004</c:v>
                </c:pt>
                <c:pt idx="1">
                  <c:v>3.603890130109081</c:v>
                </c:pt>
                <c:pt idx="2">
                  <c:v>3.575035112359551</c:v>
                </c:pt>
                <c:pt idx="3">
                  <c:v>3.547828627780416</c:v>
                </c:pt>
                <c:pt idx="4">
                  <c:v>3.40496251062843</c:v>
                </c:pt>
              </c:numCache>
            </c:numRef>
          </c:yVal>
          <c:smooth val="0"/>
          <c:extLst xmlns:c16r2="http://schemas.microsoft.com/office/drawing/2015/06/chart">
            <c:ext xmlns:c16="http://schemas.microsoft.com/office/drawing/2014/chart" uri="{C3380CC4-5D6E-409C-BE32-E72D297353CC}">
              <c16:uniqueId val="{00000001-A777-420C-884C-0E945DD31AB7}"/>
            </c:ext>
          </c:extLst>
        </c:ser>
        <c:dLbls>
          <c:showLegendKey val="0"/>
          <c:showVal val="0"/>
          <c:showCatName val="0"/>
          <c:showSerName val="0"/>
          <c:showPercent val="0"/>
          <c:showBubbleSize val="0"/>
        </c:dLbls>
        <c:axId val="744903904"/>
        <c:axId val="744908128"/>
      </c:scatterChart>
      <c:valAx>
        <c:axId val="74490390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908128"/>
        <c:crosses val="autoZero"/>
        <c:crossBetween val="midCat"/>
      </c:valAx>
      <c:valAx>
        <c:axId val="744908128"/>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903904"/>
        <c:crosses val="autoZero"/>
        <c:crossBetween val="midCat"/>
      </c:valAx>
      <c:spPr>
        <a:solidFill>
          <a:srgbClr val="C0C0C0"/>
        </a:solidFill>
        <a:ln w="12700">
          <a:solidFill>
            <a:srgbClr val="808080"/>
          </a:solidFill>
          <a:prstDash val="solid"/>
        </a:ln>
      </c:spPr>
    </c:plotArea>
    <c:legend>
      <c:legendPos val="r"/>
      <c:layout>
        <c:manualLayout>
          <c:xMode val="edge"/>
          <c:yMode val="edge"/>
          <c:x val="0.206774248438431"/>
          <c:y val="0.84690587420868"/>
          <c:w val="0.556151426834401"/>
          <c:h val="0.110749229704212"/>
        </c:manualLayout>
      </c:layout>
      <c:overlay val="0"/>
      <c:spPr>
        <a:solidFill>
          <a:srgbClr val="FFFFFF"/>
        </a:solidFill>
        <a:ln w="3175">
          <a:solidFill>
            <a:srgbClr val="000000"/>
          </a:solidFill>
          <a:prstDash val="solid"/>
        </a:ln>
      </c:spPr>
      <c:txPr>
        <a:bodyPr/>
        <a:lstStyle/>
        <a:p>
          <a:pPr>
            <a:defRPr sz="1080"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Current Ratio</a:t>
            </a:r>
          </a:p>
        </c:rich>
      </c:tx>
      <c:layout>
        <c:manualLayout>
          <c:xMode val="edge"/>
          <c:yMode val="edge"/>
          <c:x val="0.399417416572928"/>
          <c:y val="0.0279604755287942"/>
        </c:manualLayout>
      </c:layout>
      <c:overlay val="0"/>
      <c:spPr>
        <a:noFill/>
        <a:ln w="25400">
          <a:noFill/>
        </a:ln>
      </c:spPr>
    </c:title>
    <c:autoTitleDeleted val="0"/>
    <c:plotArea>
      <c:layout>
        <c:manualLayout>
          <c:layoutTarget val="inner"/>
          <c:xMode val="edge"/>
          <c:yMode val="edge"/>
          <c:x val="0.125000136239337"/>
          <c:y val="0.201681086038205"/>
          <c:w val="0.805804449685723"/>
          <c:h val="0.495799336510587"/>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Calculations'!$B$58:$F$58</c:f>
              <c:numCache>
                <c:formatCode>0.00" X";[Red]\(0.00\)" X"</c:formatCode>
                <c:ptCount val="5"/>
                <c:pt idx="0">
                  <c:v>1.962708992161202</c:v>
                </c:pt>
                <c:pt idx="1">
                  <c:v>2.217843966558528</c:v>
                </c:pt>
                <c:pt idx="2">
                  <c:v>2.241891334508231</c:v>
                </c:pt>
                <c:pt idx="3">
                  <c:v>2.240918763164788</c:v>
                </c:pt>
                <c:pt idx="4">
                  <c:v>3.349873411602627</c:v>
                </c:pt>
              </c:numCache>
            </c:numRef>
          </c:yVal>
          <c:smooth val="0"/>
          <c:extLst xmlns:c16r2="http://schemas.microsoft.com/office/drawing/2015/06/chart">
            <c:ext xmlns:c16="http://schemas.microsoft.com/office/drawing/2014/chart" uri="{C3380CC4-5D6E-409C-BE32-E72D297353CC}">
              <c16:uniqueId val="{00000000-18DF-4124-BEA5-738EE0EEAB3A}"/>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Calculations'!$H$58:$L$58</c:f>
              <c:numCache>
                <c:formatCode>0.00" X";[Red]\(0.00\)" X"</c:formatCode>
                <c:ptCount val="5"/>
                <c:pt idx="0">
                  <c:v>2.092386214646937</c:v>
                </c:pt>
                <c:pt idx="1">
                  <c:v>2.34608839402927</c:v>
                </c:pt>
                <c:pt idx="2">
                  <c:v>2.221234363692753</c:v>
                </c:pt>
                <c:pt idx="3">
                  <c:v>1.813481983253364</c:v>
                </c:pt>
                <c:pt idx="4">
                  <c:v>1.897030823856327</c:v>
                </c:pt>
              </c:numCache>
            </c:numRef>
          </c:yVal>
          <c:smooth val="0"/>
          <c:extLst xmlns:c16r2="http://schemas.microsoft.com/office/drawing/2015/06/chart">
            <c:ext xmlns:c16="http://schemas.microsoft.com/office/drawing/2014/chart" uri="{C3380CC4-5D6E-409C-BE32-E72D297353CC}">
              <c16:uniqueId val="{00000001-18DF-4124-BEA5-738EE0EEAB3A}"/>
            </c:ext>
          </c:extLst>
        </c:ser>
        <c:dLbls>
          <c:showLegendKey val="0"/>
          <c:showVal val="0"/>
          <c:showCatName val="0"/>
          <c:showSerName val="0"/>
          <c:showPercent val="0"/>
          <c:showBubbleSize val="0"/>
        </c:dLbls>
        <c:axId val="774115408"/>
        <c:axId val="774119600"/>
      </c:scatterChart>
      <c:valAx>
        <c:axId val="7741154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119600"/>
        <c:crosses val="autoZero"/>
        <c:crossBetween val="midCat"/>
      </c:valAx>
      <c:valAx>
        <c:axId val="774119600"/>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115408"/>
        <c:crosses val="autoZero"/>
        <c:crossBetween val="midCat"/>
      </c:valAx>
      <c:spPr>
        <a:solidFill>
          <a:srgbClr val="C0C0C0"/>
        </a:solidFill>
        <a:ln w="12700">
          <a:solidFill>
            <a:srgbClr val="808080"/>
          </a:solidFill>
          <a:prstDash val="solid"/>
        </a:ln>
      </c:spPr>
    </c:plotArea>
    <c:legend>
      <c:legendPos val="r"/>
      <c:layout>
        <c:manualLayout>
          <c:xMode val="edge"/>
          <c:yMode val="edge"/>
          <c:x val="0.23214346438197"/>
          <c:y val="0.840910090748288"/>
          <c:w val="0.517858497467471"/>
          <c:h val="0.10714298453549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landscape" horizontalDpi="0" verticalDpi="0" copies="0"/>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Quick Ratio</a:t>
            </a:r>
          </a:p>
        </c:rich>
      </c:tx>
      <c:layout>
        <c:manualLayout>
          <c:xMode val="edge"/>
          <c:yMode val="edge"/>
          <c:x val="0.409533183352081"/>
          <c:y val="0.0280064573518268"/>
        </c:manualLayout>
      </c:layout>
      <c:overlay val="0"/>
      <c:spPr>
        <a:noFill/>
        <a:ln w="25400">
          <a:noFill/>
        </a:ln>
      </c:spPr>
    </c:title>
    <c:autoTitleDeleted val="0"/>
    <c:plotArea>
      <c:layout>
        <c:manualLayout>
          <c:layoutTarget val="inner"/>
          <c:xMode val="edge"/>
          <c:yMode val="edge"/>
          <c:x val="0.125000136239337"/>
          <c:y val="0.196652719665272"/>
          <c:w val="0.808036594975711"/>
          <c:h val="0.49790794979079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Calculations'!$B$59:$F$59</c:f>
              <c:numCache>
                <c:formatCode>0.00" X";[Red]\(0.00\)" X"</c:formatCode>
                <c:ptCount val="5"/>
                <c:pt idx="0">
                  <c:v>0.848053264930988</c:v>
                </c:pt>
                <c:pt idx="1">
                  <c:v>0.981392616163865</c:v>
                </c:pt>
                <c:pt idx="2">
                  <c:v>1.18198180386489</c:v>
                </c:pt>
                <c:pt idx="3">
                  <c:v>1.193164895812028</c:v>
                </c:pt>
                <c:pt idx="4">
                  <c:v>1.860335836903388</c:v>
                </c:pt>
              </c:numCache>
            </c:numRef>
          </c:yVal>
          <c:smooth val="0"/>
          <c:extLst xmlns:c16r2="http://schemas.microsoft.com/office/drawing/2015/06/chart">
            <c:ext xmlns:c16="http://schemas.microsoft.com/office/drawing/2014/chart" uri="{C3380CC4-5D6E-409C-BE32-E72D297353CC}">
              <c16:uniqueId val="{00000000-8532-441D-92E8-48AB5CC365F3}"/>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Calculations'!$H$59:$L$59</c:f>
              <c:numCache>
                <c:formatCode>0.00" X";[Red]\(0.00\)" X"</c:formatCode>
                <c:ptCount val="5"/>
                <c:pt idx="0">
                  <c:v>1.523084847349691</c:v>
                </c:pt>
                <c:pt idx="1">
                  <c:v>1.716925171391063</c:v>
                </c:pt>
                <c:pt idx="2">
                  <c:v>1.645456425100796</c:v>
                </c:pt>
                <c:pt idx="3">
                  <c:v>1.350785586602691</c:v>
                </c:pt>
                <c:pt idx="4">
                  <c:v>1.384706427211444</c:v>
                </c:pt>
              </c:numCache>
            </c:numRef>
          </c:yVal>
          <c:smooth val="0"/>
          <c:extLst xmlns:c16r2="http://schemas.microsoft.com/office/drawing/2015/06/chart">
            <c:ext xmlns:c16="http://schemas.microsoft.com/office/drawing/2014/chart" uri="{C3380CC4-5D6E-409C-BE32-E72D297353CC}">
              <c16:uniqueId val="{00000001-8532-441D-92E8-48AB5CC365F3}"/>
            </c:ext>
          </c:extLst>
        </c:ser>
        <c:dLbls>
          <c:showLegendKey val="0"/>
          <c:showVal val="0"/>
          <c:showCatName val="0"/>
          <c:showSerName val="0"/>
          <c:showPercent val="0"/>
          <c:showBubbleSize val="0"/>
        </c:dLbls>
        <c:axId val="764870752"/>
        <c:axId val="764947424"/>
      </c:scatterChart>
      <c:valAx>
        <c:axId val="76487075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4947424"/>
        <c:crosses val="autoZero"/>
        <c:crossBetween val="midCat"/>
      </c:valAx>
      <c:valAx>
        <c:axId val="76494742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4870752"/>
        <c:crosses val="autoZero"/>
        <c:crossBetween val="midCat"/>
      </c:valAx>
      <c:spPr>
        <a:solidFill>
          <a:srgbClr val="C0C0C0"/>
        </a:solidFill>
        <a:ln w="12700">
          <a:solidFill>
            <a:srgbClr val="808080"/>
          </a:solidFill>
          <a:prstDash val="solid"/>
        </a:ln>
      </c:spPr>
    </c:plotArea>
    <c:legend>
      <c:legendPos val="r"/>
      <c:layout>
        <c:manualLayout>
          <c:xMode val="edge"/>
          <c:yMode val="edge"/>
          <c:x val="0.217857712727694"/>
          <c:y val="0.838189357897036"/>
          <c:w val="0.517858497467471"/>
          <c:h val="0.10679632745406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TIE</a:t>
            </a:r>
          </a:p>
        </c:rich>
      </c:tx>
      <c:layout>
        <c:manualLayout>
          <c:xMode val="edge"/>
          <c:yMode val="edge"/>
          <c:x val="0.467898917980464"/>
          <c:y val="0.028006689037288"/>
        </c:manualLayout>
      </c:layout>
      <c:overlay val="0"/>
      <c:spPr>
        <a:noFill/>
        <a:ln w="25400">
          <a:noFill/>
        </a:ln>
      </c:spPr>
    </c:title>
    <c:autoTitleDeleted val="0"/>
    <c:plotArea>
      <c:layout>
        <c:manualLayout>
          <c:layoutTarget val="inner"/>
          <c:xMode val="edge"/>
          <c:yMode val="edge"/>
          <c:x val="0.12249443207127"/>
          <c:y val="0.210971333445961"/>
          <c:w val="0.810690423162584"/>
          <c:h val="0.472575786918953"/>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Calculations'!$B$72:$F$72</c:f>
              <c:numCache>
                <c:formatCode>0.00" X";[Red]\(0.00\)" X"</c:formatCode>
                <c:ptCount val="5"/>
                <c:pt idx="0">
                  <c:v>-6.383750759468035</c:v>
                </c:pt>
                <c:pt idx="1">
                  <c:v>-2.499090029041626</c:v>
                </c:pt>
                <c:pt idx="2">
                  <c:v>2.96022049446707</c:v>
                </c:pt>
                <c:pt idx="3">
                  <c:v>4.378464083827381</c:v>
                </c:pt>
                <c:pt idx="4">
                  <c:v>3.611330943624599</c:v>
                </c:pt>
              </c:numCache>
            </c:numRef>
          </c:yVal>
          <c:smooth val="0"/>
          <c:extLst xmlns:c16r2="http://schemas.microsoft.com/office/drawing/2015/06/chart">
            <c:ext xmlns:c16="http://schemas.microsoft.com/office/drawing/2014/chart" uri="{C3380CC4-5D6E-409C-BE32-E72D297353CC}">
              <c16:uniqueId val="{00000000-F851-4D2F-8EAD-2A41BBA6202C}"/>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Calculations'!$H$72:$L$72</c:f>
              <c:numCache>
                <c:formatCode>0.00" X";[Red]\(0.00\)" X"</c:formatCode>
                <c:ptCount val="5"/>
                <c:pt idx="0">
                  <c:v>35.14879649890588</c:v>
                </c:pt>
                <c:pt idx="1">
                  <c:v>35.97637795275592</c:v>
                </c:pt>
                <c:pt idx="2">
                  <c:v>30.03937007874019</c:v>
                </c:pt>
                <c:pt idx="3">
                  <c:v>25.92292490118578</c:v>
                </c:pt>
                <c:pt idx="4">
                  <c:v>17.04851330203442</c:v>
                </c:pt>
              </c:numCache>
            </c:numRef>
          </c:yVal>
          <c:smooth val="0"/>
          <c:extLst xmlns:c16r2="http://schemas.microsoft.com/office/drawing/2015/06/chart">
            <c:ext xmlns:c16="http://schemas.microsoft.com/office/drawing/2014/chart" uri="{C3380CC4-5D6E-409C-BE32-E72D297353CC}">
              <c16:uniqueId val="{00000001-F851-4D2F-8EAD-2A41BBA6202C}"/>
            </c:ext>
          </c:extLst>
        </c:ser>
        <c:dLbls>
          <c:showLegendKey val="0"/>
          <c:showVal val="0"/>
          <c:showCatName val="0"/>
          <c:showSerName val="0"/>
          <c:showPercent val="0"/>
          <c:showBubbleSize val="0"/>
        </c:dLbls>
        <c:axId val="765432256"/>
        <c:axId val="765436144"/>
      </c:scatterChart>
      <c:valAx>
        <c:axId val="76543225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5436144"/>
        <c:crosses val="autoZero"/>
        <c:crossBetween val="midCat"/>
      </c:valAx>
      <c:valAx>
        <c:axId val="76543614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5432256"/>
        <c:crosses val="autoZero"/>
        <c:crossBetween val="midCat"/>
      </c:valAx>
      <c:spPr>
        <a:solidFill>
          <a:srgbClr val="C0C0C0"/>
        </a:solidFill>
        <a:ln w="12700">
          <a:solidFill>
            <a:srgbClr val="808080"/>
          </a:solidFill>
          <a:prstDash val="solid"/>
        </a:ln>
      </c:spPr>
    </c:plotArea>
    <c:legend>
      <c:legendPos val="r"/>
      <c:layout>
        <c:manualLayout>
          <c:xMode val="edge"/>
          <c:yMode val="edge"/>
          <c:x val="0.226382151307592"/>
          <c:y val="0.83660597956388"/>
          <c:w val="0.516935621096077"/>
          <c:h val="0.10784373955315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Operating Profit Margin</a:t>
            </a:r>
          </a:p>
        </c:rich>
      </c:tx>
      <c:layout>
        <c:manualLayout>
          <c:xMode val="edge"/>
          <c:yMode val="edge"/>
          <c:x val="0.323929945976484"/>
          <c:y val="0.0280064573518268"/>
        </c:manualLayout>
      </c:layout>
      <c:overlay val="0"/>
      <c:spPr>
        <a:noFill/>
        <a:ln w="25400">
          <a:noFill/>
        </a:ln>
      </c:spPr>
    </c:title>
    <c:autoTitleDeleted val="0"/>
    <c:plotArea>
      <c:layout>
        <c:manualLayout>
          <c:layoutTarget val="inner"/>
          <c:xMode val="edge"/>
          <c:yMode val="edge"/>
          <c:x val="0.134529147982063"/>
          <c:y val="0.200836820083682"/>
          <c:w val="0.795964125560538"/>
          <c:h val="0.48535564853556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Calculations'!$N$11:$R$11</c:f>
              <c:numCache>
                <c:formatCode>0.00%</c:formatCode>
                <c:ptCount val="5"/>
                <c:pt idx="0">
                  <c:v>-0.194753773563533</c:v>
                </c:pt>
                <c:pt idx="1">
                  <c:v>-0.0554313993596174</c:v>
                </c:pt>
                <c:pt idx="2">
                  <c:v>0.0535208397327528</c:v>
                </c:pt>
                <c:pt idx="3">
                  <c:v>0.0769386072376608</c:v>
                </c:pt>
                <c:pt idx="4">
                  <c:v>0.0659931943853679</c:v>
                </c:pt>
              </c:numCache>
            </c:numRef>
          </c:yVal>
          <c:smooth val="0"/>
          <c:extLst xmlns:c16r2="http://schemas.microsoft.com/office/drawing/2015/06/chart">
            <c:ext xmlns:c16="http://schemas.microsoft.com/office/drawing/2014/chart" uri="{C3380CC4-5D6E-409C-BE32-E72D297353CC}">
              <c16:uniqueId val="{00000000-60F8-4F09-ABB6-FE36B6BD0B08}"/>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Calculations'!$T$11:$X$11</c:f>
              <c:numCache>
                <c:formatCode>0.00%</c:formatCode>
                <c:ptCount val="5"/>
                <c:pt idx="0">
                  <c:v>0.149001892323105</c:v>
                </c:pt>
                <c:pt idx="1">
                  <c:v>0.166618043906353</c:v>
                </c:pt>
                <c:pt idx="2">
                  <c:v>0.149876739640728</c:v>
                </c:pt>
                <c:pt idx="3">
                  <c:v>0.135037473233405</c:v>
                </c:pt>
                <c:pt idx="4">
                  <c:v>0.123654937570942</c:v>
                </c:pt>
              </c:numCache>
            </c:numRef>
          </c:yVal>
          <c:smooth val="0"/>
          <c:extLst xmlns:c16r2="http://schemas.microsoft.com/office/drawing/2015/06/chart">
            <c:ext xmlns:c16="http://schemas.microsoft.com/office/drawing/2014/chart" uri="{C3380CC4-5D6E-409C-BE32-E72D297353CC}">
              <c16:uniqueId val="{00000001-60F8-4F09-ABB6-FE36B6BD0B08}"/>
            </c:ext>
          </c:extLst>
        </c:ser>
        <c:dLbls>
          <c:showLegendKey val="0"/>
          <c:showVal val="0"/>
          <c:showCatName val="0"/>
          <c:showSerName val="0"/>
          <c:showPercent val="0"/>
          <c:showBubbleSize val="0"/>
        </c:dLbls>
        <c:axId val="744984784"/>
        <c:axId val="744989008"/>
      </c:scatterChart>
      <c:valAx>
        <c:axId val="7449847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989008"/>
        <c:crosses val="autoZero"/>
        <c:crossBetween val="midCat"/>
      </c:valAx>
      <c:valAx>
        <c:axId val="744989008"/>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44984784"/>
        <c:crosses val="autoZero"/>
        <c:crossBetween val="midCat"/>
      </c:valAx>
      <c:spPr>
        <a:solidFill>
          <a:srgbClr val="C0C0C0"/>
        </a:solidFill>
        <a:ln w="12700">
          <a:solidFill>
            <a:srgbClr val="808080"/>
          </a:solidFill>
          <a:prstDash val="solid"/>
        </a:ln>
      </c:spPr>
    </c:plotArea>
    <c:legend>
      <c:legendPos val="r"/>
      <c:layout>
        <c:manualLayout>
          <c:xMode val="edge"/>
          <c:yMode val="edge"/>
          <c:x val="0.229391082463672"/>
          <c:y val="0.834953105549943"/>
          <c:w val="0.519714171206757"/>
          <c:h val="0.10679632745406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P/E Ratio</a:t>
            </a:r>
          </a:p>
        </c:rich>
      </c:tx>
      <c:layout>
        <c:manualLayout>
          <c:xMode val="edge"/>
          <c:yMode val="edge"/>
          <c:x val="0.427184586336508"/>
          <c:y val="0.0279603334102066"/>
        </c:manualLayout>
      </c:layout>
      <c:overlay val="0"/>
      <c:spPr>
        <a:noFill/>
        <a:ln w="25400">
          <a:noFill/>
        </a:ln>
      </c:spPr>
    </c:title>
    <c:autoTitleDeleted val="0"/>
    <c:plotArea>
      <c:layout>
        <c:manualLayout>
          <c:layoutTarget val="inner"/>
          <c:xMode val="edge"/>
          <c:yMode val="edge"/>
          <c:x val="0.124721603563474"/>
          <c:y val="0.205020920502092"/>
          <c:w val="0.806236080178174"/>
          <c:h val="0.48117154811715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Calculations'!$B$80:$F$80</c:f>
              <c:numCache>
                <c:formatCode>0.00" X";[Red]\(0.00\)" X"</c:formatCode>
                <c:ptCount val="5"/>
                <c:pt idx="0">
                  <c:v>-1.805232415579354</c:v>
                </c:pt>
                <c:pt idx="1">
                  <c:v>-4.796706192358365</c:v>
                </c:pt>
                <c:pt idx="2">
                  <c:v>28.80467470708162</c:v>
                </c:pt>
                <c:pt idx="3">
                  <c:v>20.77433515038576</c:v>
                </c:pt>
                <c:pt idx="4">
                  <c:v>22.41623362365513</c:v>
                </c:pt>
              </c:numCache>
            </c:numRef>
          </c:yVal>
          <c:smooth val="0"/>
          <c:extLst xmlns:c16r2="http://schemas.microsoft.com/office/drawing/2015/06/chart">
            <c:ext xmlns:c16="http://schemas.microsoft.com/office/drawing/2014/chart" uri="{C3380CC4-5D6E-409C-BE32-E72D297353CC}">
              <c16:uniqueId val="{00000000-942C-4CC7-9B0A-C3D10A59450A}"/>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Calculations'!$H$80:$L$80</c:f>
              <c:numCache>
                <c:formatCode>0.00" X";[Red]\(0.00\)" X"</c:formatCode>
                <c:ptCount val="5"/>
                <c:pt idx="0">
                  <c:v>28.59118743686291</c:v>
                </c:pt>
                <c:pt idx="1">
                  <c:v>23.47798355618303</c:v>
                </c:pt>
                <c:pt idx="2">
                  <c:v>25.77665424593053</c:v>
                </c:pt>
                <c:pt idx="3">
                  <c:v>26.69052164780019</c:v>
                </c:pt>
                <c:pt idx="4">
                  <c:v>58.17796803652971</c:v>
                </c:pt>
              </c:numCache>
            </c:numRef>
          </c:yVal>
          <c:smooth val="0"/>
          <c:extLst xmlns:c16r2="http://schemas.microsoft.com/office/drawing/2015/06/chart">
            <c:ext xmlns:c16="http://schemas.microsoft.com/office/drawing/2014/chart" uri="{C3380CC4-5D6E-409C-BE32-E72D297353CC}">
              <c16:uniqueId val="{00000001-942C-4CC7-9B0A-C3D10A59450A}"/>
            </c:ext>
          </c:extLst>
        </c:ser>
        <c:dLbls>
          <c:showLegendKey val="0"/>
          <c:showVal val="0"/>
          <c:showCatName val="0"/>
          <c:showSerName val="0"/>
          <c:showPercent val="0"/>
          <c:showBubbleSize val="0"/>
        </c:dLbls>
        <c:axId val="774190096"/>
        <c:axId val="774194288"/>
      </c:scatterChart>
      <c:valAx>
        <c:axId val="7741900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194288"/>
        <c:crosses val="autoZero"/>
        <c:crossBetween val="midCat"/>
      </c:valAx>
      <c:valAx>
        <c:axId val="774194288"/>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190096"/>
        <c:crosses val="autoZero"/>
        <c:crossBetween val="midCat"/>
      </c:valAx>
      <c:spPr>
        <a:solidFill>
          <a:srgbClr val="C0C0C0"/>
        </a:solidFill>
        <a:ln w="12700">
          <a:solidFill>
            <a:srgbClr val="808080"/>
          </a:solidFill>
          <a:prstDash val="solid"/>
        </a:ln>
      </c:spPr>
    </c:plotArea>
    <c:legend>
      <c:legendPos val="r"/>
      <c:layout>
        <c:manualLayout>
          <c:xMode val="edge"/>
          <c:yMode val="edge"/>
          <c:x val="0.229537416405168"/>
          <c:y val="0.838711989267233"/>
          <c:w val="0.516014346957353"/>
          <c:h val="0.106451906330072"/>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rPr lang="en-US"/>
              <a:t>M/B Ratio</a:t>
            </a:r>
          </a:p>
        </c:rich>
      </c:tx>
      <c:layout>
        <c:manualLayout>
          <c:xMode val="edge"/>
          <c:yMode val="edge"/>
          <c:x val="0.420388592365552"/>
          <c:y val="0.0279143953159701"/>
        </c:manualLayout>
      </c:layout>
      <c:overlay val="0"/>
      <c:spPr>
        <a:noFill/>
        <a:ln w="25400">
          <a:noFill/>
        </a:ln>
      </c:spPr>
    </c:title>
    <c:autoTitleDeleted val="0"/>
    <c:plotArea>
      <c:layout>
        <c:manualLayout>
          <c:layoutTarget val="inner"/>
          <c:xMode val="edge"/>
          <c:yMode val="edge"/>
          <c:x val="0.125279915757646"/>
          <c:y val="0.21367610541911"/>
          <c:w val="0.805370887013438"/>
          <c:h val="0.478634476138806"/>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Calculations'!$B$82:$F$82</c:f>
              <c:numCache>
                <c:formatCode>0.00" X";[Red]\(0.00\)" X"</c:formatCode>
                <c:ptCount val="5"/>
                <c:pt idx="0">
                  <c:v>3.358603010596757</c:v>
                </c:pt>
                <c:pt idx="1">
                  <c:v>1.884191714579138</c:v>
                </c:pt>
                <c:pt idx="2">
                  <c:v>2.275777364627524</c:v>
                </c:pt>
                <c:pt idx="3">
                  <c:v>2.476177482266927</c:v>
                </c:pt>
                <c:pt idx="4">
                  <c:v>2.199368065778608</c:v>
                </c:pt>
              </c:numCache>
            </c:numRef>
          </c:yVal>
          <c:smooth val="0"/>
          <c:extLst xmlns:c16r2="http://schemas.microsoft.com/office/drawing/2015/06/chart">
            <c:ext xmlns:c16="http://schemas.microsoft.com/office/drawing/2014/chart" uri="{C3380CC4-5D6E-409C-BE32-E72D297353CC}">
              <c16:uniqueId val="{00000000-A021-4E64-A77B-BF26E06D11FD}"/>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Calculations'!$H$82:$L$82</c:f>
              <c:numCache>
                <c:formatCode>0.00" X";[Red]\(0.00\)" X"</c:formatCode>
                <c:ptCount val="5"/>
                <c:pt idx="0">
                  <c:v>8.545494071146245</c:v>
                </c:pt>
                <c:pt idx="1">
                  <c:v>7.333482061791484</c:v>
                </c:pt>
                <c:pt idx="2">
                  <c:v>7.997514983723263</c:v>
                </c:pt>
                <c:pt idx="3">
                  <c:v>8.367886726181763</c:v>
                </c:pt>
                <c:pt idx="4">
                  <c:v>15.50586445576938</c:v>
                </c:pt>
              </c:numCache>
            </c:numRef>
          </c:yVal>
          <c:smooth val="0"/>
          <c:extLst xmlns:c16r2="http://schemas.microsoft.com/office/drawing/2015/06/chart">
            <c:ext xmlns:c16="http://schemas.microsoft.com/office/drawing/2014/chart" uri="{C3380CC4-5D6E-409C-BE32-E72D297353CC}">
              <c16:uniqueId val="{00000001-A021-4E64-A77B-BF26E06D11FD}"/>
            </c:ext>
          </c:extLst>
        </c:ser>
        <c:dLbls>
          <c:showLegendKey val="0"/>
          <c:showVal val="0"/>
          <c:showCatName val="0"/>
          <c:showSerName val="0"/>
          <c:showPercent val="0"/>
          <c:showBubbleSize val="0"/>
        </c:dLbls>
        <c:axId val="774258432"/>
        <c:axId val="774262624"/>
      </c:scatterChart>
      <c:valAx>
        <c:axId val="7742584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262624"/>
        <c:crosses val="autoZero"/>
        <c:crossBetween val="midCat"/>
      </c:valAx>
      <c:valAx>
        <c:axId val="774262624"/>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258432"/>
        <c:crosses val="autoZero"/>
        <c:crossBetween val="midCat"/>
      </c:valAx>
      <c:spPr>
        <a:solidFill>
          <a:srgbClr val="C0C0C0"/>
        </a:solidFill>
        <a:ln w="12700">
          <a:solidFill>
            <a:srgbClr val="808080"/>
          </a:solidFill>
          <a:prstDash val="solid"/>
        </a:ln>
      </c:spPr>
    </c:plotArea>
    <c:legend>
      <c:legendPos val="r"/>
      <c:layout>
        <c:manualLayout>
          <c:xMode val="edge"/>
          <c:yMode val="edge"/>
          <c:x val="0.225806846800177"/>
          <c:y val="0.844887211502203"/>
          <c:w val="0.519714171206757"/>
          <c:h val="0.108911242107706"/>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Non-Operating Expense (Income) as % of Sales</a:t>
            </a:r>
          </a:p>
        </c:rich>
      </c:tx>
      <c:layout>
        <c:manualLayout>
          <c:xMode val="edge"/>
          <c:yMode val="edge"/>
          <c:x val="0.15631076589467"/>
          <c:y val="0.0279603185195071"/>
        </c:manualLayout>
      </c:layout>
      <c:overlay val="0"/>
      <c:spPr>
        <a:noFill/>
        <a:ln w="25400">
          <a:noFill/>
        </a:ln>
      </c:spPr>
    </c:title>
    <c:autoTitleDeleted val="0"/>
    <c:plotArea>
      <c:layout>
        <c:manualLayout>
          <c:layoutTarget val="inner"/>
          <c:xMode val="edge"/>
          <c:yMode val="edge"/>
          <c:x val="0.135440180586908"/>
          <c:y val="0.207627118644068"/>
          <c:w val="0.796839729119639"/>
          <c:h val="0.483050847457627"/>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Calculations'!$N$13:$R$13</c:f>
              <c:numCache>
                <c:formatCode>0.00%</c:formatCode>
                <c:ptCount val="5"/>
                <c:pt idx="0">
                  <c:v>0.000246113162626223</c:v>
                </c:pt>
                <c:pt idx="1">
                  <c:v>0.0</c:v>
                </c:pt>
                <c:pt idx="2">
                  <c:v>0.0</c:v>
                </c:pt>
                <c:pt idx="3">
                  <c:v>0.0</c:v>
                </c:pt>
                <c:pt idx="4">
                  <c:v>0.00550233943002977</c:v>
                </c:pt>
              </c:numCache>
            </c:numRef>
          </c:yVal>
          <c:smooth val="0"/>
          <c:extLst xmlns:c16r2="http://schemas.microsoft.com/office/drawing/2015/06/chart">
            <c:ext xmlns:c16="http://schemas.microsoft.com/office/drawing/2014/chart" uri="{C3380CC4-5D6E-409C-BE32-E72D297353CC}">
              <c16:uniqueId val="{00000000-D6CD-44B3-9C17-CF955DC177D3}"/>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Calculations'!$T$13:$X$13</c:f>
              <c:numCache>
                <c:formatCode>0.00%</c:formatCode>
                <c:ptCount val="5"/>
                <c:pt idx="0">
                  <c:v>0.0</c:v>
                </c:pt>
                <c:pt idx="1">
                  <c:v>0.0</c:v>
                </c:pt>
                <c:pt idx="2">
                  <c:v>0.0</c:v>
                </c:pt>
                <c:pt idx="3">
                  <c:v>0.0</c:v>
                </c:pt>
                <c:pt idx="4">
                  <c:v>0.0</c:v>
                </c:pt>
              </c:numCache>
            </c:numRef>
          </c:yVal>
          <c:smooth val="0"/>
          <c:extLst xmlns:c16r2="http://schemas.microsoft.com/office/drawing/2015/06/chart">
            <c:ext xmlns:c16="http://schemas.microsoft.com/office/drawing/2014/chart" uri="{C3380CC4-5D6E-409C-BE32-E72D297353CC}">
              <c16:uniqueId val="{00000001-D6CD-44B3-9C17-CF955DC177D3}"/>
            </c:ext>
          </c:extLst>
        </c:ser>
        <c:dLbls>
          <c:showLegendKey val="0"/>
          <c:showVal val="0"/>
          <c:showCatName val="0"/>
          <c:showSerName val="0"/>
          <c:showPercent val="0"/>
          <c:showBubbleSize val="0"/>
        </c:dLbls>
        <c:axId val="774326992"/>
        <c:axId val="774331184"/>
      </c:scatterChart>
      <c:valAx>
        <c:axId val="77432699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331184"/>
        <c:crosses val="autoZero"/>
        <c:crossBetween val="midCat"/>
      </c:valAx>
      <c:valAx>
        <c:axId val="77433118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326992"/>
        <c:crosses val="autoZero"/>
        <c:crossBetween val="midCat"/>
      </c:valAx>
      <c:spPr>
        <a:solidFill>
          <a:srgbClr val="C0C0C0"/>
        </a:solidFill>
        <a:ln w="12700">
          <a:solidFill>
            <a:srgbClr val="808080"/>
          </a:solidFill>
          <a:prstDash val="solid"/>
        </a:ln>
      </c:spPr>
    </c:plotArea>
    <c:legend>
      <c:legendPos val="r"/>
      <c:layout>
        <c:manualLayout>
          <c:xMode val="edge"/>
          <c:yMode val="edge"/>
          <c:x val="0.236462093862816"/>
          <c:y val="0.839348293488859"/>
          <c:w val="0.523465703971119"/>
          <c:h val="0.108197240957548"/>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Total Assets Distribution (A)</a:t>
            </a:r>
          </a:p>
        </c:rich>
      </c:tx>
      <c:layout>
        <c:manualLayout>
          <c:xMode val="edge"/>
          <c:yMode val="edge"/>
          <c:x val="0.295034120734908"/>
          <c:y val="0.027634045744282"/>
        </c:manualLayout>
      </c:layout>
      <c:overlay val="0"/>
      <c:spPr>
        <a:noFill/>
        <a:ln w="25400">
          <a:noFill/>
        </a:ln>
      </c:spPr>
    </c:title>
    <c:autoTitleDeleted val="0"/>
    <c:plotArea>
      <c:layout>
        <c:manualLayout>
          <c:layoutTarget val="inner"/>
          <c:xMode val="edge"/>
          <c:yMode val="edge"/>
          <c:x val="0.175281091205551"/>
          <c:y val="0.197479396745742"/>
          <c:w val="0.786517716947986"/>
          <c:h val="0.474790890048274"/>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Calculations'!$AJ$31:$AN$31</c:f>
              <c:numCache>
                <c:formatCode>0.00%</c:formatCode>
                <c:ptCount val="5"/>
                <c:pt idx="0">
                  <c:v>0.521258595417745</c:v>
                </c:pt>
                <c:pt idx="1">
                  <c:v>0.572463884150471</c:v>
                </c:pt>
                <c:pt idx="2">
                  <c:v>0.595868381092512</c:v>
                </c:pt>
                <c:pt idx="3">
                  <c:v>0.585418006400726</c:v>
                </c:pt>
                <c:pt idx="4">
                  <c:v>0.648537674433839</c:v>
                </c:pt>
              </c:numCache>
            </c:numRef>
          </c:val>
          <c:extLst xmlns:c16r2="http://schemas.microsoft.com/office/drawing/2015/06/chart">
            <c:ext xmlns:c16="http://schemas.microsoft.com/office/drawing/2014/chart" uri="{C3380CC4-5D6E-409C-BE32-E72D297353CC}">
              <c16:uniqueId val="{00000000-5F8E-453D-A4B5-7D7CB93A7A7D}"/>
            </c:ext>
          </c:extLst>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Calculations'!$AJ$32:$AN$32</c:f>
              <c:numCache>
                <c:formatCode>0.00%</c:formatCode>
                <c:ptCount val="5"/>
                <c:pt idx="0">
                  <c:v>0.130125279135884</c:v>
                </c:pt>
                <c:pt idx="1">
                  <c:v>0.11002276638412</c:v>
                </c:pt>
                <c:pt idx="2">
                  <c:v>0.0965705442987971</c:v>
                </c:pt>
                <c:pt idx="3">
                  <c:v>0.0838412604967968</c:v>
                </c:pt>
                <c:pt idx="4">
                  <c:v>0.0968161181605382</c:v>
                </c:pt>
              </c:numCache>
            </c:numRef>
          </c:val>
          <c:extLst xmlns:c16r2="http://schemas.microsoft.com/office/drawing/2015/06/chart">
            <c:ext xmlns:c16="http://schemas.microsoft.com/office/drawing/2014/chart" uri="{C3380CC4-5D6E-409C-BE32-E72D297353CC}">
              <c16:uniqueId val="{00000001-5F8E-453D-A4B5-7D7CB93A7A7D}"/>
            </c:ext>
          </c:extLst>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Calculations'!$AJ$33:$AN$33</c:f>
              <c:numCache>
                <c:formatCode>0.00%</c:formatCode>
                <c:ptCount val="5"/>
                <c:pt idx="0">
                  <c:v>0.345248049737834</c:v>
                </c:pt>
                <c:pt idx="1">
                  <c:v>0.312603082174684</c:v>
                </c:pt>
                <c:pt idx="2">
                  <c:v>0.30625459803648</c:v>
                </c:pt>
                <c:pt idx="3">
                  <c:v>0.328991501320829</c:v>
                </c:pt>
                <c:pt idx="4">
                  <c:v>0.251697107167799</c:v>
                </c:pt>
              </c:numCache>
            </c:numRef>
          </c:val>
          <c:extLst xmlns:c16r2="http://schemas.microsoft.com/office/drawing/2015/06/chart">
            <c:ext xmlns:c16="http://schemas.microsoft.com/office/drawing/2014/chart" uri="{C3380CC4-5D6E-409C-BE32-E72D297353CC}">
              <c16:uniqueId val="{00000002-5F8E-453D-A4B5-7D7CB93A7A7D}"/>
            </c:ext>
          </c:extLst>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Calculations'!$AJ$34:$AN$34</c:f>
              <c:numCache>
                <c:formatCode>0.00%</c:formatCode>
                <c:ptCount val="5"/>
                <c:pt idx="0">
                  <c:v>0.00336807570853787</c:v>
                </c:pt>
                <c:pt idx="1">
                  <c:v>0.00491026729072493</c:v>
                </c:pt>
                <c:pt idx="2">
                  <c:v>0.00130647657221137</c:v>
                </c:pt>
                <c:pt idx="3">
                  <c:v>0.00174923178164788</c:v>
                </c:pt>
                <c:pt idx="4">
                  <c:v>0.00294910023782312</c:v>
                </c:pt>
              </c:numCache>
            </c:numRef>
          </c:val>
          <c:extLst xmlns:c16r2="http://schemas.microsoft.com/office/drawing/2015/06/chart">
            <c:ext xmlns:c16="http://schemas.microsoft.com/office/drawing/2014/chart" uri="{C3380CC4-5D6E-409C-BE32-E72D297353CC}">
              <c16:uniqueId val="{00000003-5F8E-453D-A4B5-7D7CB93A7A7D}"/>
            </c:ext>
          </c:extLst>
        </c:ser>
        <c:dLbls>
          <c:showLegendKey val="0"/>
          <c:showVal val="0"/>
          <c:showCatName val="0"/>
          <c:showSerName val="0"/>
          <c:showPercent val="0"/>
          <c:showBubbleSize val="0"/>
        </c:dLbls>
        <c:axId val="774409824"/>
        <c:axId val="766639456"/>
      </c:areaChart>
      <c:catAx>
        <c:axId val="774409824"/>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66639456"/>
        <c:crosses val="autoZero"/>
        <c:auto val="1"/>
        <c:lblAlgn val="ctr"/>
        <c:lblOffset val="100"/>
        <c:tickLblSkip val="1"/>
        <c:tickMarkSkip val="1"/>
        <c:noMultiLvlLbl val="0"/>
      </c:catAx>
      <c:valAx>
        <c:axId val="766639456"/>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409824"/>
        <c:crosses val="autoZero"/>
        <c:crossBetween val="midCat"/>
      </c:valAx>
      <c:spPr>
        <a:solidFill>
          <a:srgbClr val="C0C0C0"/>
        </a:solidFill>
        <a:ln w="12700">
          <a:solidFill>
            <a:srgbClr val="808080"/>
          </a:solidFill>
          <a:prstDash val="solid"/>
        </a:ln>
      </c:spPr>
    </c:plotArea>
    <c:legend>
      <c:legendPos val="b"/>
      <c:layout>
        <c:manualLayout>
          <c:xMode val="edge"/>
          <c:yMode val="edge"/>
          <c:x val="0.0125899391140849"/>
          <c:y val="0.892858204462468"/>
          <c:w val="0.980216688168039"/>
          <c:h val="0.0909091989998149"/>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el"/>
                <a:ea typeface="Ariel"/>
                <a:cs typeface="Ariel"/>
              </a:defRPr>
            </a:pPr>
            <a:r>
              <a:t>Total Assets Distribution (B)</a:t>
            </a:r>
          </a:p>
        </c:rich>
      </c:tx>
      <c:layout>
        <c:manualLayout>
          <c:xMode val="edge"/>
          <c:yMode val="edge"/>
          <c:x val="0.296404552569942"/>
          <c:y val="0.0275389326334208"/>
        </c:manualLayout>
      </c:layout>
      <c:overlay val="0"/>
      <c:spPr>
        <a:noFill/>
        <a:ln w="25400">
          <a:noFill/>
        </a:ln>
      </c:spPr>
    </c:title>
    <c:autoTitleDeleted val="0"/>
    <c:plotArea>
      <c:layout>
        <c:manualLayout>
          <c:layoutTarget val="inner"/>
          <c:xMode val="edge"/>
          <c:yMode val="edge"/>
          <c:x val="0.174887892376682"/>
          <c:y val="0.204167497426341"/>
          <c:w val="0.789237668161435"/>
          <c:h val="0.608335808658076"/>
        </c:manualLayout>
      </c:layout>
      <c:areaChart>
        <c:grouping val="percentStacked"/>
        <c:varyColors val="0"/>
        <c:ser>
          <c:idx val="0"/>
          <c:order val="0"/>
          <c:tx>
            <c:strRef>
              <c:f>'Statements and Calculations'!$A$31</c:f>
              <c:strCache>
                <c:ptCount val="1"/>
                <c:pt idx="0">
                  <c:v>Total current assets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Calculations'!$AP$31:$AT$31</c:f>
              <c:numCache>
                <c:formatCode>0.00%</c:formatCode>
                <c:ptCount val="5"/>
                <c:pt idx="0">
                  <c:v>0.542346344305272</c:v>
                </c:pt>
                <c:pt idx="1">
                  <c:v>0.61320658804392</c:v>
                </c:pt>
                <c:pt idx="2">
                  <c:v>0.601410737278173</c:v>
                </c:pt>
                <c:pt idx="3">
                  <c:v>0.584726224783862</c:v>
                </c:pt>
                <c:pt idx="4">
                  <c:v>0.587593044198983</c:v>
                </c:pt>
              </c:numCache>
            </c:numRef>
          </c:val>
          <c:extLst xmlns:c16r2="http://schemas.microsoft.com/office/drawing/2015/06/chart">
            <c:ext xmlns:c16="http://schemas.microsoft.com/office/drawing/2014/chart" uri="{C3380CC4-5D6E-409C-BE32-E72D297353CC}">
              <c16:uniqueId val="{00000000-693C-47F0-8690-465D88F6FDEC}"/>
            </c:ext>
          </c:extLst>
        </c:ser>
        <c:ser>
          <c:idx val="1"/>
          <c:order val="1"/>
          <c:tx>
            <c:strRef>
              <c:f>'Statements and Calculations'!$A$32</c:f>
              <c:strCache>
                <c:ptCount val="1"/>
                <c:pt idx="0">
                  <c:v>Net PP&amp;E</c:v>
                </c:pt>
              </c:strCache>
            </c:strRef>
          </c:tx>
          <c:spPr>
            <a:solidFill>
              <a:srgbClr val="993366"/>
            </a:solidFill>
            <a:ln w="12700">
              <a:solidFill>
                <a:srgbClr val="000000"/>
              </a:solidFill>
              <a:prstDash val="solid"/>
            </a:ln>
          </c:spPr>
          <c:val>
            <c:numRef>
              <c:f>'Statements and Calculations'!$AP$32:$AT$32</c:f>
              <c:numCache>
                <c:formatCode>0.00%</c:formatCode>
                <c:ptCount val="5"/>
                <c:pt idx="0">
                  <c:v>0.18086707447325</c:v>
                </c:pt>
                <c:pt idx="1">
                  <c:v>0.190956689711265</c:v>
                </c:pt>
                <c:pt idx="2">
                  <c:v>0.189035996193249</c:v>
                </c:pt>
                <c:pt idx="3">
                  <c:v>0.186834521462157</c:v>
                </c:pt>
                <c:pt idx="4">
                  <c:v>0.182199269991552</c:v>
                </c:pt>
              </c:numCache>
            </c:numRef>
          </c:val>
          <c:extLst xmlns:c16r2="http://schemas.microsoft.com/office/drawing/2015/06/chart">
            <c:ext xmlns:c16="http://schemas.microsoft.com/office/drawing/2014/chart" uri="{C3380CC4-5D6E-409C-BE32-E72D297353CC}">
              <c16:uniqueId val="{00000001-693C-47F0-8690-465D88F6FDEC}"/>
            </c:ext>
          </c:extLst>
        </c:ser>
        <c:ser>
          <c:idx val="2"/>
          <c:order val="2"/>
          <c:tx>
            <c:strRef>
              <c:f>'Statements and Calculations'!$A$33</c:f>
              <c:strCache>
                <c:ptCount val="1"/>
                <c:pt idx="0">
                  <c:v>Intangibles &amp; other LT operating assets</c:v>
                </c:pt>
              </c:strCache>
            </c:strRef>
          </c:tx>
          <c:spPr>
            <a:solidFill>
              <a:srgbClr val="FFFFCC"/>
            </a:solidFill>
            <a:ln w="12700">
              <a:solidFill>
                <a:srgbClr val="000000"/>
              </a:solidFill>
              <a:prstDash val="solid"/>
            </a:ln>
          </c:spPr>
          <c:val>
            <c:numRef>
              <c:f>'Statements and Calculations'!$AP$33:$AT$33</c:f>
              <c:numCache>
                <c:formatCode>0.00%</c:formatCode>
                <c:ptCount val="5"/>
                <c:pt idx="0">
                  <c:v>0.225774347023983</c:v>
                </c:pt>
                <c:pt idx="1">
                  <c:v>0.194108377389183</c:v>
                </c:pt>
                <c:pt idx="2">
                  <c:v>0.209553266528579</c:v>
                </c:pt>
                <c:pt idx="3">
                  <c:v>0.228439253753981</c:v>
                </c:pt>
                <c:pt idx="4">
                  <c:v>0.230207685809465</c:v>
                </c:pt>
              </c:numCache>
            </c:numRef>
          </c:val>
          <c:extLst xmlns:c16r2="http://schemas.microsoft.com/office/drawing/2015/06/chart">
            <c:ext xmlns:c16="http://schemas.microsoft.com/office/drawing/2014/chart" uri="{C3380CC4-5D6E-409C-BE32-E72D297353CC}">
              <c16:uniqueId val="{00000002-693C-47F0-8690-465D88F6FDEC}"/>
            </c:ext>
          </c:extLst>
        </c:ser>
        <c:ser>
          <c:idx val="3"/>
          <c:order val="3"/>
          <c:tx>
            <c:strRef>
              <c:f>'Statements and Calculations'!$A$34</c:f>
              <c:strCache>
                <c:ptCount val="1"/>
                <c:pt idx="0">
                  <c:v>Long-term investments</c:v>
                </c:pt>
              </c:strCache>
            </c:strRef>
          </c:tx>
          <c:spPr>
            <a:solidFill>
              <a:srgbClr val="CCFFFF"/>
            </a:solidFill>
            <a:ln w="12700">
              <a:solidFill>
                <a:srgbClr val="000000"/>
              </a:solidFill>
              <a:prstDash val="solid"/>
            </a:ln>
          </c:spPr>
          <c:val>
            <c:numRef>
              <c:f>'Statements and Calculations'!$AP$34:$AT$34</c:f>
              <c:numCache>
                <c:formatCode>0.00%</c:formatCode>
                <c:ptCount val="5"/>
                <c:pt idx="0">
                  <c:v>0.0510122341974949</c:v>
                </c:pt>
                <c:pt idx="1">
                  <c:v>0.00172834485563237</c:v>
                </c:pt>
                <c:pt idx="2">
                  <c:v>0.0</c:v>
                </c:pt>
                <c:pt idx="3">
                  <c:v>0.0</c:v>
                </c:pt>
                <c:pt idx="4">
                  <c:v>0.0</c:v>
                </c:pt>
              </c:numCache>
            </c:numRef>
          </c:val>
          <c:extLst xmlns:c16r2="http://schemas.microsoft.com/office/drawing/2015/06/chart">
            <c:ext xmlns:c16="http://schemas.microsoft.com/office/drawing/2014/chart" uri="{C3380CC4-5D6E-409C-BE32-E72D297353CC}">
              <c16:uniqueId val="{00000003-693C-47F0-8690-465D88F6FDEC}"/>
            </c:ext>
          </c:extLst>
        </c:ser>
        <c:dLbls>
          <c:showLegendKey val="0"/>
          <c:showVal val="0"/>
          <c:showCatName val="0"/>
          <c:showSerName val="0"/>
          <c:showPercent val="0"/>
          <c:showBubbleSize val="0"/>
        </c:dLbls>
        <c:axId val="774448544"/>
        <c:axId val="774453184"/>
      </c:areaChart>
      <c:catAx>
        <c:axId val="774448544"/>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453184"/>
        <c:crosses val="autoZero"/>
        <c:auto val="1"/>
        <c:lblAlgn val="ctr"/>
        <c:lblOffset val="100"/>
        <c:tickLblSkip val="1"/>
        <c:tickMarkSkip val="1"/>
        <c:noMultiLvlLbl val="0"/>
      </c:catAx>
      <c:valAx>
        <c:axId val="774453184"/>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448544"/>
        <c:crosses val="autoZero"/>
        <c:crossBetween val="midCat"/>
      </c:valAx>
      <c:spPr>
        <a:solidFill>
          <a:srgbClr val="C0C0C0"/>
        </a:solidFill>
        <a:ln w="12700">
          <a:solidFill>
            <a:srgbClr val="808080"/>
          </a:solidFill>
          <a:prstDash val="solid"/>
        </a:ln>
      </c:spPr>
    </c:plotArea>
    <c:legend>
      <c:legendPos val="r"/>
      <c:layout>
        <c:manualLayout>
          <c:xMode val="edge"/>
          <c:yMode val="edge"/>
          <c:x val="0.684589011727521"/>
          <c:y val="0.26366652627877"/>
          <c:w val="0.292115206574832"/>
          <c:h val="0.559487506981779"/>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(A)</a:t>
            </a:r>
          </a:p>
        </c:rich>
      </c:tx>
      <c:layout>
        <c:manualLayout>
          <c:xMode val="edge"/>
          <c:yMode val="edge"/>
          <c:x val="0.260447196909375"/>
          <c:y val="0.0275864046405964"/>
        </c:manualLayout>
      </c:layout>
      <c:overlay val="0"/>
      <c:spPr>
        <a:noFill/>
        <a:ln w="25400">
          <a:noFill/>
        </a:ln>
      </c:spPr>
    </c:title>
    <c:autoTitleDeleted val="0"/>
    <c:plotArea>
      <c:layout>
        <c:manualLayout>
          <c:layoutTarget val="inner"/>
          <c:xMode val="edge"/>
          <c:yMode val="edge"/>
          <c:x val="0.175281091205551"/>
          <c:y val="0.19327770745328"/>
          <c:w val="0.788764910424981"/>
          <c:h val="0.40336217207641"/>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Calculations'!$AJ$41:$AN$41</c:f>
              <c:numCache>
                <c:formatCode>0.00%</c:formatCode>
                <c:ptCount val="5"/>
                <c:pt idx="0">
                  <c:v>0.265581192881666</c:v>
                </c:pt>
                <c:pt idx="1">
                  <c:v>0.258117294445549</c:v>
                </c:pt>
                <c:pt idx="2">
                  <c:v>0.265788252945461</c:v>
                </c:pt>
                <c:pt idx="3">
                  <c:v>0.261240173460798</c:v>
                </c:pt>
                <c:pt idx="4">
                  <c:v>0.193600651352246</c:v>
                </c:pt>
              </c:numCache>
            </c:numRef>
          </c:val>
          <c:extLst xmlns:c16r2="http://schemas.microsoft.com/office/drawing/2015/06/chart">
            <c:ext xmlns:c16="http://schemas.microsoft.com/office/drawing/2014/chart" uri="{C3380CC4-5D6E-409C-BE32-E72D297353CC}">
              <c16:uniqueId val="{00000000-A8BF-44E7-A4C4-1919B00556A5}"/>
            </c:ext>
          </c:extLst>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Calculations'!$AJ$43:$AN$43</c:f>
              <c:numCache>
                <c:formatCode>0.00%</c:formatCode>
                <c:ptCount val="5"/>
                <c:pt idx="0">
                  <c:v>0.0675103046639056</c:v>
                </c:pt>
                <c:pt idx="1">
                  <c:v>0.0514744459818792</c:v>
                </c:pt>
                <c:pt idx="2">
                  <c:v>0.0408532143672558</c:v>
                </c:pt>
                <c:pt idx="3">
                  <c:v>0.0528219252048738</c:v>
                </c:pt>
                <c:pt idx="4">
                  <c:v>0.0252387297227425</c:v>
                </c:pt>
              </c:numCache>
            </c:numRef>
          </c:val>
          <c:extLst xmlns:c16r2="http://schemas.microsoft.com/office/drawing/2015/06/chart">
            <c:ext xmlns:c16="http://schemas.microsoft.com/office/drawing/2014/chart" uri="{C3380CC4-5D6E-409C-BE32-E72D297353CC}">
              <c16:uniqueId val="{00000001-A8BF-44E7-A4C4-1919B00556A5}"/>
            </c:ext>
          </c:extLst>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Calculations'!$AJ$42:$AN$42</c:f>
              <c:numCache>
                <c:formatCode>0.00%</c:formatCode>
                <c:ptCount val="5"/>
                <c:pt idx="0">
                  <c:v>0.43731370446519</c:v>
                </c:pt>
                <c:pt idx="1">
                  <c:v>0.335733050252766</c:v>
                </c:pt>
                <c:pt idx="2">
                  <c:v>0.226504260092124</c:v>
                </c:pt>
                <c:pt idx="3">
                  <c:v>0.234355812117883</c:v>
                </c:pt>
                <c:pt idx="4">
                  <c:v>0.292453415095509</c:v>
                </c:pt>
              </c:numCache>
            </c:numRef>
          </c:val>
          <c:extLst xmlns:c16r2="http://schemas.microsoft.com/office/drawing/2015/06/chart">
            <c:ext xmlns:c16="http://schemas.microsoft.com/office/drawing/2014/chart" uri="{C3380CC4-5D6E-409C-BE32-E72D297353CC}">
              <c16:uniqueId val="{00000002-A8BF-44E7-A4C4-1919B00556A5}"/>
            </c:ext>
          </c:extLst>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Calculations'!$AJ$45:$AN$45</c:f>
              <c:numCache>
                <c:formatCode>0.00%</c:formatCode>
                <c:ptCount val="5"/>
                <c:pt idx="0">
                  <c:v>0.0667872566476149</c:v>
                </c:pt>
                <c:pt idx="1">
                  <c:v>0.00523052259071467</c:v>
                </c:pt>
                <c:pt idx="2">
                  <c:v>0.0</c:v>
                </c:pt>
                <c:pt idx="3">
                  <c:v>0.0</c:v>
                </c:pt>
                <c:pt idx="4">
                  <c:v>0.0</c:v>
                </c:pt>
              </c:numCache>
            </c:numRef>
          </c:val>
          <c:extLst xmlns:c16r2="http://schemas.microsoft.com/office/drawing/2015/06/chart">
            <c:ext xmlns:c16="http://schemas.microsoft.com/office/drawing/2014/chart" uri="{C3380CC4-5D6E-409C-BE32-E72D297353CC}">
              <c16:uniqueId val="{00000003-A8BF-44E7-A4C4-1919B00556A5}"/>
            </c:ext>
          </c:extLst>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Calculations'!$AJ$50:$AN$50</c:f>
              <c:numCache>
                <c:formatCode>0.00%</c:formatCode>
                <c:ptCount val="5"/>
                <c:pt idx="0">
                  <c:v>0.162807541341623</c:v>
                </c:pt>
                <c:pt idx="1">
                  <c:v>0.349444686729091</c:v>
                </c:pt>
                <c:pt idx="2">
                  <c:v>0.466854272595159</c:v>
                </c:pt>
                <c:pt idx="3">
                  <c:v>0.451582089216445</c:v>
                </c:pt>
                <c:pt idx="4">
                  <c:v>0.488707203829502</c:v>
                </c:pt>
              </c:numCache>
            </c:numRef>
          </c:val>
          <c:extLst xmlns:c16r2="http://schemas.microsoft.com/office/drawing/2015/06/chart">
            <c:ext xmlns:c16="http://schemas.microsoft.com/office/drawing/2014/chart" uri="{C3380CC4-5D6E-409C-BE32-E72D297353CC}">
              <c16:uniqueId val="{00000004-A8BF-44E7-A4C4-1919B00556A5}"/>
            </c:ext>
          </c:extLst>
        </c:ser>
        <c:dLbls>
          <c:showLegendKey val="0"/>
          <c:showVal val="0"/>
          <c:showCatName val="0"/>
          <c:showSerName val="0"/>
          <c:showPercent val="0"/>
          <c:showBubbleSize val="0"/>
        </c:dLbls>
        <c:axId val="774551536"/>
        <c:axId val="774555856"/>
      </c:areaChart>
      <c:catAx>
        <c:axId val="774551536"/>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555856"/>
        <c:crosses val="autoZero"/>
        <c:auto val="1"/>
        <c:lblAlgn val="ctr"/>
        <c:lblOffset val="100"/>
        <c:tickLblSkip val="1"/>
        <c:tickMarkSkip val="1"/>
        <c:noMultiLvlLbl val="0"/>
      </c:catAx>
      <c:valAx>
        <c:axId val="774555856"/>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551536"/>
        <c:crosses val="autoZero"/>
        <c:crossBetween val="midCat"/>
      </c:valAx>
      <c:spPr>
        <a:solidFill>
          <a:srgbClr val="C0C0C0"/>
        </a:solidFill>
        <a:ln w="12700">
          <a:solidFill>
            <a:srgbClr val="808080"/>
          </a:solidFill>
          <a:prstDash val="solid"/>
        </a:ln>
      </c:spPr>
    </c:plotArea>
    <c:legend>
      <c:legendPos val="b"/>
      <c:layout>
        <c:manualLayout>
          <c:xMode val="edge"/>
          <c:yMode val="edge"/>
          <c:x val="0.0143626759776267"/>
          <c:y val="0.704546292248566"/>
          <c:w val="0.933573938545735"/>
          <c:h val="0.24026002592808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Liabilities-Equity Distribution (B)</a:t>
            </a:r>
          </a:p>
        </c:rich>
      </c:tx>
      <c:layout>
        <c:manualLayout>
          <c:xMode val="edge"/>
          <c:yMode val="edge"/>
          <c:x val="0.255092097862767"/>
          <c:y val="0.0274443635722006"/>
        </c:manualLayout>
      </c:layout>
      <c:overlay val="0"/>
      <c:spPr>
        <a:noFill/>
        <a:ln w="25400">
          <a:noFill/>
        </a:ln>
      </c:spPr>
    </c:title>
    <c:autoTitleDeleted val="0"/>
    <c:plotArea>
      <c:layout>
        <c:manualLayout>
          <c:layoutTarget val="inner"/>
          <c:xMode val="edge"/>
          <c:yMode val="edge"/>
          <c:x val="0.176339477909064"/>
          <c:y val="0.201681086038205"/>
          <c:w val="0.783482996785841"/>
          <c:h val="0.428572307831186"/>
        </c:manualLayout>
      </c:layout>
      <c:areaChart>
        <c:grouping val="percentStacked"/>
        <c:varyColors val="0"/>
        <c:ser>
          <c:idx val="0"/>
          <c:order val="0"/>
          <c:tx>
            <c:strRef>
              <c:f>'Statements and Calculations'!$A$41</c:f>
              <c:strCache>
                <c:ptCount val="1"/>
                <c:pt idx="0">
                  <c:v>Total current liabilities</c:v>
                </c:pt>
              </c:strCache>
            </c:strRef>
          </c:tx>
          <c:spPr>
            <a:solidFill>
              <a:srgbClr val="9999FF"/>
            </a:solidFill>
            <a:ln w="12700">
              <a:solidFill>
                <a:srgbClr val="000000"/>
              </a:solidFill>
              <a:prstDash val="solid"/>
            </a:ln>
          </c:spPr>
          <c:cat>
            <c:numRef>
              <c:f>'Statements and Calculations'!$Y$25:$AC$25</c:f>
              <c:numCache>
                <c:formatCode>0.00%</c:formatCode>
                <c:ptCount val="5"/>
              </c:numCache>
            </c:numRef>
          </c:cat>
          <c:val>
            <c:numRef>
              <c:f>'Statements and Calculations'!$AP$41:$AT$41</c:f>
              <c:numCache>
                <c:formatCode>0.00%</c:formatCode>
                <c:ptCount val="5"/>
                <c:pt idx="0">
                  <c:v>0.259199922322556</c:v>
                </c:pt>
                <c:pt idx="1">
                  <c:v>0.261374034160228</c:v>
                </c:pt>
                <c:pt idx="2">
                  <c:v>0.270755192296927</c:v>
                </c:pt>
                <c:pt idx="3">
                  <c:v>0.322432883361141</c:v>
                </c:pt>
                <c:pt idx="4">
                  <c:v>0.309743540700362</c:v>
                </c:pt>
              </c:numCache>
            </c:numRef>
          </c:val>
          <c:extLst xmlns:c16r2="http://schemas.microsoft.com/office/drawing/2015/06/chart">
            <c:ext xmlns:c16="http://schemas.microsoft.com/office/drawing/2014/chart" uri="{C3380CC4-5D6E-409C-BE32-E72D297353CC}">
              <c16:uniqueId val="{00000000-F36A-4CCA-8A64-1280E68B72E1}"/>
            </c:ext>
          </c:extLst>
        </c:ser>
        <c:ser>
          <c:idx val="1"/>
          <c:order val="1"/>
          <c:tx>
            <c:strRef>
              <c:f>'Statements and Calculations'!$A$43</c:f>
              <c:strCache>
                <c:ptCount val="1"/>
                <c:pt idx="0">
                  <c:v>Deferred income taxes &amp; other Op. liab.</c:v>
                </c:pt>
              </c:strCache>
            </c:strRef>
          </c:tx>
          <c:spPr>
            <a:solidFill>
              <a:srgbClr val="993366"/>
            </a:solidFill>
            <a:ln w="12700">
              <a:solidFill>
                <a:srgbClr val="000000"/>
              </a:solidFill>
              <a:prstDash val="solid"/>
            </a:ln>
          </c:spPr>
          <c:val>
            <c:numRef>
              <c:f>'Statements and Calculations'!$AP$43:$AT$43</c:f>
              <c:numCache>
                <c:formatCode>0.00%</c:formatCode>
                <c:ptCount val="5"/>
                <c:pt idx="0">
                  <c:v>0.0</c:v>
                </c:pt>
                <c:pt idx="1">
                  <c:v>0.0</c:v>
                </c:pt>
                <c:pt idx="2">
                  <c:v>0.0112803000615798</c:v>
                </c:pt>
                <c:pt idx="3">
                  <c:v>0.0161231609282572</c:v>
                </c:pt>
                <c:pt idx="4">
                  <c:v>0.0</c:v>
                </c:pt>
              </c:numCache>
            </c:numRef>
          </c:val>
          <c:extLst xmlns:c16r2="http://schemas.microsoft.com/office/drawing/2015/06/chart">
            <c:ext xmlns:c16="http://schemas.microsoft.com/office/drawing/2014/chart" uri="{C3380CC4-5D6E-409C-BE32-E72D297353CC}">
              <c16:uniqueId val="{00000001-F36A-4CCA-8A64-1280E68B72E1}"/>
            </c:ext>
          </c:extLst>
        </c:ser>
        <c:ser>
          <c:idx val="2"/>
          <c:order val="2"/>
          <c:tx>
            <c:strRef>
              <c:f>'Statements and Calculations'!$A$42</c:f>
              <c:strCache>
                <c:ptCount val="1"/>
                <c:pt idx="0">
                  <c:v>Long-term debt &amp; other LT liabilities</c:v>
                </c:pt>
              </c:strCache>
            </c:strRef>
          </c:tx>
          <c:spPr>
            <a:solidFill>
              <a:srgbClr val="FFFFCC"/>
            </a:solidFill>
            <a:ln w="12700">
              <a:solidFill>
                <a:srgbClr val="000000"/>
              </a:solidFill>
              <a:prstDash val="solid"/>
            </a:ln>
          </c:spPr>
          <c:val>
            <c:numRef>
              <c:f>'Statements and Calculations'!$AP$42:$AT$42</c:f>
              <c:numCache>
                <c:formatCode>0.00%</c:formatCode>
                <c:ptCount val="5"/>
                <c:pt idx="0">
                  <c:v>0.297274007185164</c:v>
                </c:pt>
                <c:pt idx="1">
                  <c:v>0.246886437576251</c:v>
                </c:pt>
                <c:pt idx="2">
                  <c:v>0.255850081173375</c:v>
                </c:pt>
                <c:pt idx="3">
                  <c:v>0.24471409070226</c:v>
                </c:pt>
                <c:pt idx="4">
                  <c:v>0.268349830249127</c:v>
                </c:pt>
              </c:numCache>
            </c:numRef>
          </c:val>
          <c:extLst xmlns:c16r2="http://schemas.microsoft.com/office/drawing/2015/06/chart">
            <c:ext xmlns:c16="http://schemas.microsoft.com/office/drawing/2014/chart" uri="{C3380CC4-5D6E-409C-BE32-E72D297353CC}">
              <c16:uniqueId val="{00000002-F36A-4CCA-8A64-1280E68B72E1}"/>
            </c:ext>
          </c:extLst>
        </c:ser>
        <c:ser>
          <c:idx val="3"/>
          <c:order val="3"/>
          <c:tx>
            <c:strRef>
              <c:f>'Statements and Calculations'!$A$45</c:f>
              <c:strCache>
                <c:ptCount val="1"/>
                <c:pt idx="0">
                  <c:v>Preferred stock &amp; minority interest</c:v>
                </c:pt>
              </c:strCache>
            </c:strRef>
          </c:tx>
          <c:spPr>
            <a:solidFill>
              <a:srgbClr val="CCFFFF"/>
            </a:solidFill>
            <a:ln w="12700">
              <a:solidFill>
                <a:srgbClr val="000000"/>
              </a:solidFill>
              <a:prstDash val="solid"/>
            </a:ln>
          </c:spPr>
          <c:val>
            <c:numRef>
              <c:f>'Statements and Calculations'!$AP$45:$AT$45</c:f>
              <c:numCache>
                <c:formatCode>0.00%</c:formatCode>
                <c:ptCount val="5"/>
                <c:pt idx="0">
                  <c:v>0.00134721817652199</c:v>
                </c:pt>
                <c:pt idx="1">
                  <c:v>0.00184272061813745</c:v>
                </c:pt>
                <c:pt idx="2">
                  <c:v>0.00209931142585232</c:v>
                </c:pt>
                <c:pt idx="3">
                  <c:v>0.00216896708630366</c:v>
                </c:pt>
                <c:pt idx="4">
                  <c:v>0.00280527263743445</c:v>
                </c:pt>
              </c:numCache>
            </c:numRef>
          </c:val>
          <c:extLst xmlns:c16r2="http://schemas.microsoft.com/office/drawing/2015/06/chart">
            <c:ext xmlns:c16="http://schemas.microsoft.com/office/drawing/2014/chart" uri="{C3380CC4-5D6E-409C-BE32-E72D297353CC}">
              <c16:uniqueId val="{00000003-F36A-4CCA-8A64-1280E68B72E1}"/>
            </c:ext>
          </c:extLst>
        </c:ser>
        <c:ser>
          <c:idx val="4"/>
          <c:order val="4"/>
          <c:tx>
            <c:strRef>
              <c:f>'Statements and Calculations'!$A$50</c:f>
              <c:strCache>
                <c:ptCount val="1"/>
                <c:pt idx="0">
                  <c:v>Total common equity</c:v>
                </c:pt>
              </c:strCache>
            </c:strRef>
          </c:tx>
          <c:spPr>
            <a:solidFill>
              <a:srgbClr val="660066"/>
            </a:solidFill>
            <a:ln w="12700">
              <a:solidFill>
                <a:srgbClr val="000000"/>
              </a:solidFill>
              <a:prstDash val="solid"/>
            </a:ln>
          </c:spPr>
          <c:val>
            <c:numRef>
              <c:f>'Statements and Calculations'!$AP$50:$AT$50</c:f>
              <c:numCache>
                <c:formatCode>0.00%</c:formatCode>
                <c:ptCount val="5"/>
                <c:pt idx="0">
                  <c:v>0.442178852315759</c:v>
                </c:pt>
                <c:pt idx="1">
                  <c:v>0.489896807645384</c:v>
                </c:pt>
                <c:pt idx="2">
                  <c:v>0.460015115042266</c:v>
                </c:pt>
                <c:pt idx="3">
                  <c:v>0.414560897922039</c:v>
                </c:pt>
                <c:pt idx="4">
                  <c:v>0.419101356413076</c:v>
                </c:pt>
              </c:numCache>
            </c:numRef>
          </c:val>
          <c:extLst xmlns:c16r2="http://schemas.microsoft.com/office/drawing/2015/06/chart">
            <c:ext xmlns:c16="http://schemas.microsoft.com/office/drawing/2014/chart" uri="{C3380CC4-5D6E-409C-BE32-E72D297353CC}">
              <c16:uniqueId val="{00000004-F36A-4CCA-8A64-1280E68B72E1}"/>
            </c:ext>
          </c:extLst>
        </c:ser>
        <c:dLbls>
          <c:showLegendKey val="0"/>
          <c:showVal val="0"/>
          <c:showCatName val="0"/>
          <c:showSerName val="0"/>
          <c:showPercent val="0"/>
          <c:showBubbleSize val="0"/>
        </c:dLbls>
        <c:axId val="774642592"/>
        <c:axId val="774646912"/>
      </c:areaChart>
      <c:catAx>
        <c:axId val="774642592"/>
        <c:scaling>
          <c:orientation val="minMax"/>
        </c:scaling>
        <c:delete val="0"/>
        <c:axPos val="b"/>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646912"/>
        <c:crosses val="autoZero"/>
        <c:auto val="1"/>
        <c:lblAlgn val="ctr"/>
        <c:lblOffset val="100"/>
        <c:tickLblSkip val="1"/>
        <c:tickMarkSkip val="1"/>
        <c:noMultiLvlLbl val="0"/>
      </c:catAx>
      <c:valAx>
        <c:axId val="774646912"/>
        <c:scaling>
          <c:orientation val="minMax"/>
        </c:scaling>
        <c:delete val="0"/>
        <c:axPos val="l"/>
        <c:majorGridlines>
          <c:spPr>
            <a:ln w="3175">
              <a:solidFill>
                <a:srgbClr val="000000"/>
              </a:solidFill>
              <a:prstDash val="solid"/>
            </a:ln>
          </c:spPr>
        </c:majorGridlines>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642592"/>
        <c:crosses val="autoZero"/>
        <c:crossBetween val="midCat"/>
      </c:valAx>
      <c:spPr>
        <a:solidFill>
          <a:srgbClr val="C0C0C0"/>
        </a:solidFill>
        <a:ln w="12700">
          <a:solidFill>
            <a:srgbClr val="808080"/>
          </a:solidFill>
          <a:prstDash val="solid"/>
        </a:ln>
      </c:spPr>
    </c:plotArea>
    <c:legend>
      <c:legendPos val="b"/>
      <c:layout>
        <c:manualLayout>
          <c:xMode val="edge"/>
          <c:yMode val="edge"/>
          <c:x val="0.014285751654275"/>
          <c:y val="0.691559263820021"/>
          <c:w val="0.928573857527878"/>
          <c:h val="0.24026002592808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el"/>
              <a:ea typeface="Ariel"/>
              <a:cs typeface="Ariel"/>
            </a:defRPr>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t>COGS + Op. Expens (exclud. dep.) as % of Sales</a:t>
            </a:r>
          </a:p>
        </c:rich>
      </c:tx>
      <c:layout>
        <c:manualLayout>
          <c:xMode val="edge"/>
          <c:yMode val="edge"/>
          <c:x val="0.210271568402943"/>
          <c:y val="0.0276071558000857"/>
        </c:manualLayout>
      </c:layout>
      <c:overlay val="0"/>
      <c:spPr>
        <a:noFill/>
        <a:ln w="25400">
          <a:noFill/>
        </a:ln>
      </c:spPr>
    </c:title>
    <c:autoTitleDeleted val="0"/>
    <c:plotArea>
      <c:layout>
        <c:manualLayout>
          <c:layoutTarget val="inner"/>
          <c:xMode val="edge"/>
          <c:yMode val="edge"/>
          <c:x val="0.134228481168906"/>
          <c:y val="0.192468619246862"/>
          <c:w val="0.798659462954993"/>
          <c:h val="0.50627615062761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Calculations'!$N$87:$R$87</c:f>
              <c:numCache>
                <c:formatCode>0.00%</c:formatCode>
                <c:ptCount val="5"/>
                <c:pt idx="0">
                  <c:v>1.152767279924374</c:v>
                </c:pt>
                <c:pt idx="1">
                  <c:v>1.017303900012368</c:v>
                </c:pt>
                <c:pt idx="2">
                  <c:v>0.917038979623257</c:v>
                </c:pt>
                <c:pt idx="3">
                  <c:v>0.899805616370542</c:v>
                </c:pt>
                <c:pt idx="4">
                  <c:v>0.912955338153977</c:v>
                </c:pt>
              </c:numCache>
            </c:numRef>
          </c:yVal>
          <c:smooth val="0"/>
          <c:extLst xmlns:c16r2="http://schemas.microsoft.com/office/drawing/2015/06/chart">
            <c:ext xmlns:c16="http://schemas.microsoft.com/office/drawing/2014/chart" uri="{C3380CC4-5D6E-409C-BE32-E72D297353CC}">
              <c16:uniqueId val="{00000000-507C-439E-B1C7-E69FB31D278F}"/>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Calculations'!$T$87:$X$87</c:f>
              <c:numCache>
                <c:formatCode>0.00%</c:formatCode>
                <c:ptCount val="5"/>
                <c:pt idx="0">
                  <c:v>0.850998107676895</c:v>
                </c:pt>
                <c:pt idx="1">
                  <c:v>0.833646342352855</c:v>
                </c:pt>
                <c:pt idx="2">
                  <c:v>0.846901794395828</c:v>
                </c:pt>
                <c:pt idx="3">
                  <c:v>0.856592818316587</c:v>
                </c:pt>
                <c:pt idx="4">
                  <c:v>0.866469920544835</c:v>
                </c:pt>
              </c:numCache>
            </c:numRef>
          </c:yVal>
          <c:smooth val="0"/>
          <c:extLst xmlns:c16r2="http://schemas.microsoft.com/office/drawing/2015/06/chart">
            <c:ext xmlns:c16="http://schemas.microsoft.com/office/drawing/2014/chart" uri="{C3380CC4-5D6E-409C-BE32-E72D297353CC}">
              <c16:uniqueId val="{00000001-507C-439E-B1C7-E69FB31D278F}"/>
            </c:ext>
          </c:extLst>
        </c:ser>
        <c:dLbls>
          <c:showLegendKey val="0"/>
          <c:showVal val="0"/>
          <c:showCatName val="0"/>
          <c:showSerName val="0"/>
          <c:showPercent val="0"/>
          <c:showBubbleSize val="0"/>
        </c:dLbls>
        <c:axId val="774707968"/>
        <c:axId val="774712160"/>
      </c:scatterChart>
      <c:valAx>
        <c:axId val="7747079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712160"/>
        <c:crosses val="autoZero"/>
        <c:crossBetween val="midCat"/>
      </c:valAx>
      <c:valAx>
        <c:axId val="774712160"/>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707968"/>
        <c:crosses val="autoZero"/>
        <c:crossBetween val="midCat"/>
      </c:valAx>
      <c:spPr>
        <a:solidFill>
          <a:srgbClr val="C0C0C0"/>
        </a:solidFill>
        <a:ln w="12700">
          <a:solidFill>
            <a:srgbClr val="808080"/>
          </a:solidFill>
          <a:prstDash val="solid"/>
        </a:ln>
      </c:spPr>
    </c:plotArea>
    <c:legend>
      <c:legendPos val="r"/>
      <c:layout>
        <c:manualLayout>
          <c:xMode val="edge"/>
          <c:yMode val="edge"/>
          <c:x val="0.246869948756562"/>
          <c:y val="0.838189357897036"/>
          <c:w val="0.518784674923209"/>
          <c:h val="0.10679632745406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Equity</a:t>
            </a:r>
            <a:r>
              <a:rPr lang="en-US" baseline="0"/>
              <a:t> Multiplier</a:t>
            </a:r>
            <a:endParaRPr lang="en-US"/>
          </a:p>
        </c:rich>
      </c:tx>
      <c:layout>
        <c:manualLayout>
          <c:xMode val="edge"/>
          <c:yMode val="edge"/>
          <c:x val="0.378812058292268"/>
          <c:y val="0.0439429881391408"/>
        </c:manualLayout>
      </c:layout>
      <c:overlay val="0"/>
      <c:spPr>
        <a:noFill/>
        <a:ln w="25400">
          <a:noFill/>
        </a:ln>
      </c:spPr>
    </c:title>
    <c:autoTitleDeleted val="0"/>
    <c:plotArea>
      <c:layout>
        <c:manualLayout>
          <c:layoutTarget val="inner"/>
          <c:xMode val="edge"/>
          <c:yMode val="edge"/>
          <c:x val="0.12249443207127"/>
          <c:y val="0.210971333445961"/>
          <c:w val="0.810690423162584"/>
          <c:h val="0.472575786918953"/>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Calculations'!$B$71:$F$71</c:f>
              <c:numCache>
                <c:formatCode>0.00" X";[Red]\(0.00\)" X"</c:formatCode>
                <c:ptCount val="5"/>
                <c:pt idx="0">
                  <c:v>6.142221617988051</c:v>
                </c:pt>
                <c:pt idx="1">
                  <c:v>2.861683230500096</c:v>
                </c:pt>
                <c:pt idx="2">
                  <c:v>2.141996033240051</c:v>
                </c:pt>
                <c:pt idx="3">
                  <c:v>2.214436807569432</c:v>
                </c:pt>
                <c:pt idx="4">
                  <c:v>2.046214977319785</c:v>
                </c:pt>
              </c:numCache>
            </c:numRef>
          </c:yVal>
          <c:smooth val="0"/>
          <c:extLst xmlns:c16r2="http://schemas.microsoft.com/office/drawing/2015/06/chart">
            <c:ext xmlns:c16="http://schemas.microsoft.com/office/drawing/2014/chart" uri="{C3380CC4-5D6E-409C-BE32-E72D297353CC}">
              <c16:uniqueId val="{00000000-4B53-41B6-BE1B-055C6F8A1171}"/>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Calculations'!$H$71:$L$71</c:f>
              <c:numCache>
                <c:formatCode>0.00" X";[Red]\(0.00\)" X"</c:formatCode>
                <c:ptCount val="5"/>
                <c:pt idx="0">
                  <c:v>2.261528326745718</c:v>
                </c:pt>
                <c:pt idx="1">
                  <c:v>2.041246206127266</c:v>
                </c:pt>
                <c:pt idx="2">
                  <c:v>2.173841613678542</c:v>
                </c:pt>
                <c:pt idx="3">
                  <c:v>2.412190838577491</c:v>
                </c:pt>
                <c:pt idx="4">
                  <c:v>2.386057655738953</c:v>
                </c:pt>
              </c:numCache>
            </c:numRef>
          </c:yVal>
          <c:smooth val="0"/>
          <c:extLst xmlns:c16r2="http://schemas.microsoft.com/office/drawing/2015/06/chart">
            <c:ext xmlns:c16="http://schemas.microsoft.com/office/drawing/2014/chart" uri="{C3380CC4-5D6E-409C-BE32-E72D297353CC}">
              <c16:uniqueId val="{00000001-4B53-41B6-BE1B-055C6F8A1171}"/>
            </c:ext>
          </c:extLst>
        </c:ser>
        <c:dLbls>
          <c:showLegendKey val="0"/>
          <c:showVal val="0"/>
          <c:showCatName val="0"/>
          <c:showSerName val="0"/>
          <c:showPercent val="0"/>
          <c:showBubbleSize val="0"/>
        </c:dLbls>
        <c:axId val="774777296"/>
        <c:axId val="774781488"/>
      </c:scatterChart>
      <c:valAx>
        <c:axId val="7747772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781488"/>
        <c:crosses val="autoZero"/>
        <c:crossBetween val="midCat"/>
      </c:valAx>
      <c:valAx>
        <c:axId val="774781488"/>
        <c:scaling>
          <c:orientation val="minMax"/>
        </c:scaling>
        <c:delete val="0"/>
        <c:axPos val="l"/>
        <c:majorGridlines>
          <c:spPr>
            <a:ln w="3175">
              <a:solidFill>
                <a:srgbClr val="000000"/>
              </a:solidFill>
              <a:prstDash val="solid"/>
            </a:ln>
          </c:spPr>
        </c:majorGridlines>
        <c:numFmt formatCode="0.0&quot; X&quot;;[Red]\(0.0\)&quot; X&quot;"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777296"/>
        <c:crosses val="autoZero"/>
        <c:crossBetween val="midCat"/>
      </c:valAx>
      <c:spPr>
        <a:solidFill>
          <a:srgbClr val="C0C0C0"/>
        </a:solidFill>
        <a:ln w="12700">
          <a:solidFill>
            <a:srgbClr val="808080"/>
          </a:solidFill>
          <a:prstDash val="solid"/>
        </a:ln>
      </c:spPr>
    </c:plotArea>
    <c:legend>
      <c:legendPos val="r"/>
      <c:layout>
        <c:manualLayout>
          <c:xMode val="edge"/>
          <c:yMode val="edge"/>
          <c:x val="0.1390378567086"/>
          <c:y val="0.807817910783663"/>
          <c:w val="0.775403431644116"/>
          <c:h val="0.107491899418794"/>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0" i="0" u="none" strike="noStrike" baseline="0">
                <a:solidFill>
                  <a:srgbClr val="000000"/>
                </a:solidFill>
                <a:latin typeface="Ariel"/>
                <a:ea typeface="Ariel"/>
                <a:cs typeface="Ariel"/>
              </a:defRPr>
            </a:pPr>
            <a:r>
              <a:rPr lang="en-US"/>
              <a:t>COGS + Op. Expens (exclud. dep.) as % of Sales</a:t>
            </a:r>
          </a:p>
        </c:rich>
      </c:tx>
      <c:layout>
        <c:manualLayout>
          <c:xMode val="edge"/>
          <c:yMode val="edge"/>
          <c:x val="0.210271568402943"/>
          <c:y val="0.0276071741032371"/>
        </c:manualLayout>
      </c:layout>
      <c:overlay val="0"/>
      <c:spPr>
        <a:noFill/>
        <a:ln w="25400">
          <a:noFill/>
        </a:ln>
      </c:spPr>
    </c:title>
    <c:autoTitleDeleted val="0"/>
    <c:plotArea>
      <c:layout>
        <c:manualLayout>
          <c:layoutTarget val="inner"/>
          <c:xMode val="edge"/>
          <c:yMode val="edge"/>
          <c:x val="0.134228481168906"/>
          <c:y val="0.192468619246862"/>
          <c:w val="0.798659462954993"/>
          <c:h val="0.506276150627615"/>
        </c:manualLayout>
      </c:layout>
      <c:scatterChart>
        <c:scatterStyle val="lineMarker"/>
        <c:varyColors val="0"/>
        <c:ser>
          <c:idx val="0"/>
          <c:order val="0"/>
          <c:tx>
            <c:strRef>
              <c:f>'Statements and Calculations'!$B$1:$F$1</c:f>
              <c:strCache>
                <c:ptCount val="5"/>
                <c:pt idx="0">
                  <c:v>ELIZABETH ARDEN INC</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Calculations'!$N$88:$R$88</c:f>
              <c:numCache>
                <c:formatCode>0.00%</c:formatCode>
                <c:ptCount val="5"/>
                <c:pt idx="0">
                  <c:v>0.058903426842605</c:v>
                </c:pt>
                <c:pt idx="1">
                  <c:v>0.069731788261485</c:v>
                </c:pt>
                <c:pt idx="2">
                  <c:v>0.0232416998444802</c:v>
                </c:pt>
                <c:pt idx="3">
                  <c:v>0.0305683803167799</c:v>
                </c:pt>
                <c:pt idx="4">
                  <c:v>0.0311237771161208</c:v>
                </c:pt>
              </c:numCache>
            </c:numRef>
          </c:yVal>
          <c:smooth val="0"/>
          <c:extLst xmlns:c16r2="http://schemas.microsoft.com/office/drawing/2015/06/chart">
            <c:ext xmlns:c16="http://schemas.microsoft.com/office/drawing/2014/chart" uri="{C3380CC4-5D6E-409C-BE32-E72D297353CC}">
              <c16:uniqueId val="{00000000-E7FE-4E95-B065-FDD81D477365}"/>
            </c:ext>
          </c:extLst>
        </c:ser>
        <c:ser>
          <c:idx val="1"/>
          <c:order val="1"/>
          <c:tx>
            <c:strRef>
              <c:f>'Statements and Calculations'!$H$1:$L$1</c:f>
              <c:strCache>
                <c:ptCount val="5"/>
                <c:pt idx="0">
                  <c:v>ESTEE LAUDER COMPANIES INC</c:v>
                </c:pt>
              </c:strCache>
            </c:strRef>
          </c:tx>
          <c:spPr>
            <a:ln w="12700">
              <a:solidFill>
                <a:srgbClr val="FF0000"/>
              </a:solidFill>
              <a:prstDash val="solid"/>
            </a:ln>
          </c:spPr>
          <c:marker>
            <c:symbol val="square"/>
            <c:size val="5"/>
            <c:spPr>
              <a:solidFill>
                <a:srgbClr val="FF0000"/>
              </a:solidFill>
              <a:ln>
                <a:solidFill>
                  <a:srgbClr val="FF0000"/>
                </a:solidFill>
                <a:prstDash val="solid"/>
              </a:ln>
            </c:spPr>
          </c:marker>
          <c:xVal>
            <c:numRef>
              <c:f>'Statements and Calculations'!$B$4:$F$4</c:f>
              <c:numCache>
                <c:formatCode>General</c:formatCode>
                <c:ptCount val="5"/>
                <c:pt idx="0">
                  <c:v>2015.0</c:v>
                </c:pt>
                <c:pt idx="1">
                  <c:v>2014.0</c:v>
                </c:pt>
                <c:pt idx="2">
                  <c:v>2013.0</c:v>
                </c:pt>
                <c:pt idx="3">
                  <c:v>2012.0</c:v>
                </c:pt>
                <c:pt idx="4">
                  <c:v>2011.0</c:v>
                </c:pt>
              </c:numCache>
            </c:numRef>
          </c:xVal>
          <c:yVal>
            <c:numRef>
              <c:f>'Statements and Calculations'!$T$88:$X$88</c:f>
              <c:numCache>
                <c:formatCode>0.00%</c:formatCode>
                <c:ptCount val="5"/>
                <c:pt idx="0">
                  <c:v>0.0479945085525583</c:v>
                </c:pt>
                <c:pt idx="1">
                  <c:v>0.0568430457297061</c:v>
                </c:pt>
                <c:pt idx="2">
                  <c:v>0.0497166484968129</c:v>
                </c:pt>
                <c:pt idx="3">
                  <c:v>0.0468209520672047</c:v>
                </c:pt>
                <c:pt idx="4">
                  <c:v>0.0441089670828604</c:v>
                </c:pt>
              </c:numCache>
            </c:numRef>
          </c:yVal>
          <c:smooth val="0"/>
          <c:extLst xmlns:c16r2="http://schemas.microsoft.com/office/drawing/2015/06/chart">
            <c:ext xmlns:c16="http://schemas.microsoft.com/office/drawing/2014/chart" uri="{C3380CC4-5D6E-409C-BE32-E72D297353CC}">
              <c16:uniqueId val="{00000001-E7FE-4E95-B065-FDD81D477365}"/>
            </c:ext>
          </c:extLst>
        </c:ser>
        <c:dLbls>
          <c:showLegendKey val="0"/>
          <c:showVal val="0"/>
          <c:showCatName val="0"/>
          <c:showSerName val="0"/>
          <c:showPercent val="0"/>
          <c:showBubbleSize val="0"/>
        </c:dLbls>
        <c:axId val="774844912"/>
        <c:axId val="774849104"/>
      </c:scatterChart>
      <c:valAx>
        <c:axId val="77484491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849104"/>
        <c:crosses val="autoZero"/>
        <c:crossBetween val="midCat"/>
      </c:valAx>
      <c:valAx>
        <c:axId val="774849104"/>
        <c:scaling>
          <c:orientation val="minMax"/>
        </c:scaling>
        <c:delete val="0"/>
        <c:axPos val="l"/>
        <c:majorGridlines>
          <c:spPr>
            <a:ln w="3175">
              <a:solidFill>
                <a:srgbClr val="000000"/>
              </a:solidFill>
              <a:prstDash val="solid"/>
            </a:ln>
          </c:spPr>
        </c:majorGridlines>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el"/>
                <a:ea typeface="Ariel"/>
                <a:cs typeface="Ariel"/>
              </a:defRPr>
            </a:pPr>
            <a:endParaRPr lang="en-US"/>
          </a:p>
        </c:txPr>
        <c:crossAx val="774844912"/>
        <c:crosses val="autoZero"/>
        <c:crossBetween val="midCat"/>
      </c:valAx>
      <c:spPr>
        <a:solidFill>
          <a:srgbClr val="C0C0C0"/>
        </a:solidFill>
        <a:ln w="12700">
          <a:solidFill>
            <a:srgbClr val="808080"/>
          </a:solidFill>
          <a:prstDash val="solid"/>
        </a:ln>
      </c:spPr>
    </c:plotArea>
    <c:legend>
      <c:legendPos val="r"/>
      <c:layout>
        <c:manualLayout>
          <c:xMode val="edge"/>
          <c:yMode val="edge"/>
          <c:x val="0.245520142949399"/>
          <c:y val="0.836015815030245"/>
          <c:w val="0.519714171206757"/>
          <c:h val="0.106109699599993"/>
        </c:manualLayout>
      </c:layout>
      <c:overlay val="0"/>
      <c:spPr>
        <a:solidFill>
          <a:srgbClr val="FFFFFF"/>
        </a:solidFill>
        <a:ln w="3175">
          <a:solidFill>
            <a:srgbClr val="000000"/>
          </a:solidFill>
          <a:prstDash val="solid"/>
        </a:ln>
      </c:spPr>
      <c:txPr>
        <a:bodyPr/>
        <a:lstStyle/>
        <a:p>
          <a:pPr>
            <a:defRPr sz="1055" b="0" i="0" u="none" strike="noStrike" baseline="0">
              <a:solidFill>
                <a:srgbClr val="000000"/>
              </a:solidFill>
              <a:latin typeface="Ariel"/>
              <a:ea typeface="Ariel"/>
              <a:cs typeface="Arie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el"/>
          <a:ea typeface="Ariel"/>
          <a:cs typeface="Ariel"/>
        </a:defRPr>
      </a:pPr>
      <a:endParaRPr lang="en-US"/>
    </a:p>
  </c:txPr>
  <c:printSettings>
    <c:headerFooter alignWithMargins="0"/>
    <c:pageMargins b="1.0" l="0.75" r="0.75" t="1.0" header="0.5" footer="0.5"/>
    <c:pageSetup paperSize="0" orientation="portrait" horizontalDpi="0" verticalDpi="0" copies="0"/>
  </c:printSettings>
</c:chartSpace>
</file>

<file path=xl/drawings/_rels/drawing4.xml.rels><?xml version="1.0" encoding="UTF-8" standalone="yes"?>
<Relationships xmlns="http://schemas.openxmlformats.org/package/2006/relationships"><Relationship Id="rId9" Type="http://schemas.openxmlformats.org/officeDocument/2006/relationships/chart" Target="../charts/chart9.xml"/><Relationship Id="rId20" Type="http://schemas.openxmlformats.org/officeDocument/2006/relationships/chart" Target="../charts/chart20.xml"/><Relationship Id="rId21" Type="http://schemas.openxmlformats.org/officeDocument/2006/relationships/chart" Target="../charts/chart21.xml"/><Relationship Id="rId22" Type="http://schemas.openxmlformats.org/officeDocument/2006/relationships/chart" Target="../charts/chart22.xml"/><Relationship Id="rId23" Type="http://schemas.openxmlformats.org/officeDocument/2006/relationships/chart" Target="../charts/chart23.xml"/><Relationship Id="rId24" Type="http://schemas.openxmlformats.org/officeDocument/2006/relationships/chart" Target="../charts/chart24.xml"/><Relationship Id="rId25" Type="http://schemas.openxmlformats.org/officeDocument/2006/relationships/chart" Target="../charts/chart25.xml"/><Relationship Id="rId26" Type="http://schemas.openxmlformats.org/officeDocument/2006/relationships/chart" Target="../charts/chart26.xml"/><Relationship Id="rId27" Type="http://schemas.openxmlformats.org/officeDocument/2006/relationships/chart" Target="../charts/chart27.xml"/><Relationship Id="rId10" Type="http://schemas.openxmlformats.org/officeDocument/2006/relationships/chart" Target="../charts/chart10.xml"/><Relationship Id="rId11" Type="http://schemas.openxmlformats.org/officeDocument/2006/relationships/chart" Target="../charts/chart11.xml"/><Relationship Id="rId12" Type="http://schemas.openxmlformats.org/officeDocument/2006/relationships/chart" Target="../charts/chart12.xml"/><Relationship Id="rId13" Type="http://schemas.openxmlformats.org/officeDocument/2006/relationships/chart" Target="../charts/chart13.xml"/><Relationship Id="rId14" Type="http://schemas.openxmlformats.org/officeDocument/2006/relationships/chart" Target="../charts/chart14.xml"/><Relationship Id="rId15" Type="http://schemas.openxmlformats.org/officeDocument/2006/relationships/chart" Target="../charts/chart15.xml"/><Relationship Id="rId16" Type="http://schemas.openxmlformats.org/officeDocument/2006/relationships/chart" Target="../charts/chart16.xml"/><Relationship Id="rId17" Type="http://schemas.openxmlformats.org/officeDocument/2006/relationships/chart" Target="../charts/chart17.xml"/><Relationship Id="rId18" Type="http://schemas.openxmlformats.org/officeDocument/2006/relationships/chart" Target="../charts/chart18.xml"/><Relationship Id="rId19" Type="http://schemas.openxmlformats.org/officeDocument/2006/relationships/chart" Target="../charts/chart19.xml"/><Relationship Id="rId1" Type="http://schemas.openxmlformats.org/officeDocument/2006/relationships/chart" Target="../charts/chart1.xml"/><Relationship Id="rId2" Type="http://schemas.openxmlformats.org/officeDocument/2006/relationships/chart" Target="../charts/chart2.xml"/><Relationship Id="rId3" Type="http://schemas.openxmlformats.org/officeDocument/2006/relationships/chart" Target="../charts/chart3.xml"/><Relationship Id="rId4" Type="http://schemas.openxmlformats.org/officeDocument/2006/relationships/chart" Target="../charts/chart4.xml"/><Relationship Id="rId5" Type="http://schemas.openxmlformats.org/officeDocument/2006/relationships/chart" Target="../charts/chart5.xml"/><Relationship Id="rId6" Type="http://schemas.openxmlformats.org/officeDocument/2006/relationships/chart" Target="../charts/chart6.xml"/><Relationship Id="rId7" Type="http://schemas.openxmlformats.org/officeDocument/2006/relationships/chart" Target="../charts/chart7.xml"/><Relationship Id="rId8"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1</xdr:rowOff>
    </xdr:from>
    <xdr:to>
      <xdr:col>8</xdr:col>
      <xdr:colOff>381000</xdr:colOff>
      <xdr:row>11</xdr:row>
      <xdr:rowOff>180975</xdr:rowOff>
    </xdr:to>
    <xdr:sp macro="" textlink="">
      <xdr:nvSpPr>
        <xdr:cNvPr id="41985" name="Text Box 1"/>
        <xdr:cNvSpPr txBox="1">
          <a:spLocks noChangeArrowheads="1"/>
        </xdr:cNvSpPr>
      </xdr:nvSpPr>
      <xdr:spPr bwMode="auto">
        <a:xfrm>
          <a:off x="9525" y="1"/>
          <a:ext cx="8629650" cy="2276474"/>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r>
            <a:rPr lang="en-US" sz="1200" b="1" i="0" u="sng" strike="noStrike" baseline="0">
              <a:solidFill>
                <a:srgbClr val="000000"/>
              </a:solidFill>
              <a:latin typeface="Calibri"/>
            </a:rPr>
            <a:t>Paste the raw data from SEC to this worksheet.</a:t>
          </a:r>
          <a:endParaRPr lang="en-US" sz="10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(1) Start from row 20. </a:t>
          </a:r>
          <a:r>
            <a:rPr lang="en-US" sz="1000" b="0" i="0" baseline="0">
              <a:effectLst/>
              <a:latin typeface="+mn-lt"/>
              <a:ea typeface="+mn-ea"/>
              <a:cs typeface="+mn-cs"/>
            </a:rPr>
            <a:t> Put company names in cells A20 and G20. </a:t>
          </a:r>
          <a:r>
            <a:rPr lang="en-US" sz="1100" b="0" i="0" u="none" strike="noStrike" baseline="0">
              <a:solidFill>
                <a:srgbClr val="000000"/>
              </a:solidFill>
              <a:latin typeface="Calibri"/>
            </a:rPr>
            <a:t>Columns A to F are for Company A; columns G to L are for Company B. One column per year. Columns A and G are the item headings. </a:t>
          </a:r>
        </a:p>
        <a:p>
          <a:pPr algn="l" rtl="0">
            <a:defRPr sz="1000"/>
          </a:pPr>
          <a:r>
            <a:rPr lang="en-US" sz="1100" b="0" i="0" u="none" strike="noStrike" baseline="0">
              <a:solidFill>
                <a:srgbClr val="000000"/>
              </a:solidFill>
              <a:latin typeface="Calibri"/>
            </a:rPr>
            <a:t>(2) Income statements should be pasted above the balance sheets.</a:t>
          </a:r>
        </a:p>
        <a:p>
          <a:pPr algn="l" rtl="0">
            <a:defRPr sz="1000"/>
          </a:pPr>
          <a:r>
            <a:rPr lang="en-US" sz="1100" b="0" i="0" u="none" strike="noStrike" baseline="0">
              <a:solidFill>
                <a:srgbClr val="000000"/>
              </a:solidFill>
              <a:latin typeface="Calibri"/>
            </a:rPr>
            <a:t>(3) Keep data contamination to the minimum--do not make any unnecessary changes to the format or the content of the statements. However, aligning the items across years within each company is necessary.</a:t>
          </a:r>
        </a:p>
        <a:p>
          <a:pPr algn="l" rtl="0">
            <a:defRPr sz="1000"/>
          </a:pPr>
          <a:r>
            <a:rPr lang="en-US" sz="1100" b="0" i="0" u="none" strike="noStrike" baseline="0">
              <a:solidFill>
                <a:srgbClr val="000000"/>
              </a:solidFill>
              <a:latin typeface="Calibri"/>
            </a:rPr>
            <a:t>(4) The statements do not need to be aligned between two companies.</a:t>
          </a:r>
        </a:p>
        <a:p>
          <a:pPr algn="l" rtl="0">
            <a:defRPr sz="1000"/>
          </a:pPr>
          <a:r>
            <a:rPr lang="en-US" sz="1100" b="0" i="0" u="none" strike="noStrike" baseline="0">
              <a:solidFill>
                <a:srgbClr val="000000"/>
              </a:solidFill>
              <a:latin typeface="Calibri"/>
            </a:rPr>
            <a:t>(5) In row 13, fill in the acutal dates on which the fiscal years ended.</a:t>
          </a:r>
        </a:p>
        <a:p>
          <a:pPr algn="l" rtl="0">
            <a:defRPr sz="1000"/>
          </a:pPr>
          <a:r>
            <a:rPr lang="en-US" sz="1100" b="0" i="0" u="none" strike="noStrike" baseline="0">
              <a:solidFill>
                <a:srgbClr val="000000"/>
              </a:solidFill>
              <a:latin typeface="Calibri"/>
            </a:rPr>
            <a:t>(6) In row 14, type in 1,000,000 for millions of dollars, 1,000 for thousands of dollars, and 1 for dollars. Do this for each company each year.</a:t>
          </a:r>
        </a:p>
        <a:p>
          <a:pPr algn="l" rtl="0">
            <a:defRPr sz="1000"/>
          </a:pPr>
          <a:r>
            <a:rPr lang="en-US" sz="1100" b="0" i="0" u="none" strike="noStrike" baseline="0">
              <a:solidFill>
                <a:srgbClr val="FF0000"/>
              </a:solidFill>
              <a:latin typeface="Calibri"/>
            </a:rPr>
            <a:t>(7) Do not key in the data manually. (Rows 13-17 are the only exceptions.) Do not cut and paste the information piecemeal. </a:t>
          </a:r>
        </a:p>
        <a:p>
          <a:pPr algn="l" rtl="0">
            <a:defRPr sz="1000"/>
          </a:pPr>
          <a:r>
            <a:rPr lang="en-US" sz="1100" b="0" i="0" u="none" strike="noStrike" baseline="0">
              <a:solidFill>
                <a:srgbClr val="FF0000"/>
              </a:solidFill>
              <a:latin typeface="+mn-lt"/>
            </a:rPr>
            <a:t>(8) Do not use any formula on this worksheet. (Row 17 is the only exception.) </a:t>
          </a:r>
          <a:endParaRPr lang="en-US" sz="1100" b="0" i="0" u="none" strike="noStrike" baseline="0">
            <a:solidFill>
              <a:srgbClr val="000000"/>
            </a:solidFill>
            <a:latin typeface="Calibri"/>
          </a:endParaRPr>
        </a:p>
        <a:p>
          <a:pPr algn="l" rtl="0">
            <a:defRPr sz="1000"/>
          </a:pPr>
          <a:r>
            <a:rPr lang="en-US" sz="1100" b="0" i="0" u="none" strike="noStrike" baseline="0">
              <a:solidFill>
                <a:srgbClr val="000000"/>
              </a:solidFill>
              <a:latin typeface="Calibri"/>
            </a:rPr>
            <a:t>If you don't know how to retrieve an entire block of data directly from EDGAR to EXCEL, or if you are spending more than an hour to retrieve the raw data for one company, contact Prof. Avis for instruction ASAP.    </a:t>
          </a:r>
          <a:r>
            <a:rPr lang="en-US" sz="1100" b="0" i="0" u="none" strike="noStrike" baseline="0">
              <a:solidFill>
                <a:srgbClr val="0000FF"/>
              </a:solidFill>
              <a:latin typeface="Calibri"/>
            </a:rPr>
            <a:t>avisy@strose.edu</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82</xdr:row>
      <xdr:rowOff>38100</xdr:rowOff>
    </xdr:from>
    <xdr:to>
      <xdr:col>4</xdr:col>
      <xdr:colOff>0</xdr:colOff>
      <xdr:row>82</xdr:row>
      <xdr:rowOff>38100</xdr:rowOff>
    </xdr:to>
    <xdr:sp macro="" textlink="">
      <xdr:nvSpPr>
        <xdr:cNvPr id="1277" name="Line 17"/>
        <xdr:cNvSpPr>
          <a:spLocks noChangeShapeType="1"/>
        </xdr:cNvSpPr>
      </xdr:nvSpPr>
      <xdr:spPr bwMode="auto">
        <a:xfrm>
          <a:off x="54025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13</xdr:col>
      <xdr:colOff>114300</xdr:colOff>
      <xdr:row>0</xdr:row>
      <xdr:rowOff>0</xdr:rowOff>
    </xdr:from>
    <xdr:to>
      <xdr:col>25</xdr:col>
      <xdr:colOff>76200</xdr:colOff>
      <xdr:row>0</xdr:row>
      <xdr:rowOff>0</xdr:rowOff>
    </xdr:to>
    <xdr:sp macro="" textlink="">
      <xdr:nvSpPr>
        <xdr:cNvPr id="1093" name="Text Box 69"/>
        <xdr:cNvSpPr txBox="1">
          <a:spLocks noChangeArrowheads="1"/>
        </xdr:cNvSpPr>
      </xdr:nvSpPr>
      <xdr:spPr bwMode="auto">
        <a:xfrm>
          <a:off x="11182350" y="0"/>
          <a:ext cx="6534150" cy="0"/>
        </a:xfrm>
        <a:prstGeom prst="rect">
          <a:avLst/>
        </a:prstGeom>
        <a:solidFill>
          <a:srgbClr val="CCCCFF"/>
        </a:solidFill>
        <a:ln w="9525">
          <a:solidFill>
            <a:srgbClr val="000000"/>
          </a:solidFill>
          <a:miter lim="800000"/>
          <a:headEnd/>
          <a:tailEnd/>
        </a:ln>
        <a:effectLst>
          <a:outerShdw dist="35921" dir="2700000" algn="ctr" rotWithShape="0">
            <a:srgbClr val="000000"/>
          </a:outerShdw>
        </a:effectLst>
      </xdr:spPr>
      <xdr:txBody>
        <a:bodyPr vertOverflow="clip" wrap="square" lIns="36576" tIns="32004" rIns="0" bIns="0" anchor="t" upright="1"/>
        <a:lstStyle/>
        <a:p>
          <a:pPr algn="l" rtl="0">
            <a:defRPr sz="1000"/>
          </a:pPr>
          <a:r>
            <a:rPr lang="en-US" sz="1400" b="1" i="0" strike="noStrike">
              <a:solidFill>
                <a:srgbClr val="0000FF"/>
              </a:solidFill>
              <a:latin typeface="Times New Roman"/>
              <a:cs typeface="Times New Roman"/>
            </a:rPr>
            <a:t>Common Size Analysis and Percent Change Analysis</a:t>
          </a:r>
          <a:endParaRPr lang="en-US" sz="1000" b="0" i="0" strike="noStrike">
            <a:solidFill>
              <a:srgbClr val="000000"/>
            </a:solidFill>
            <a:latin typeface="Times New Roman"/>
            <a:cs typeface="Times New Roman"/>
          </a:endParaRPr>
        </a:p>
        <a:p>
          <a:pPr algn="l" rtl="0">
            <a:defRPr sz="1000"/>
          </a:pPr>
          <a:endParaRPr lang="en-US" sz="1000" b="0" i="0" strike="noStrike">
            <a:solidFill>
              <a:srgbClr val="000000"/>
            </a:solidFill>
            <a:latin typeface="Times New Roman"/>
            <a:cs typeface="Times New Roman"/>
          </a:endParaRPr>
        </a:p>
        <a:p>
          <a:pPr algn="l" rtl="0">
            <a:defRPr sz="1000"/>
          </a:pPr>
          <a:r>
            <a:rPr lang="en-US" sz="1000" b="0" i="0" strike="noStrike">
              <a:solidFill>
                <a:srgbClr val="000000"/>
              </a:solidFill>
              <a:latin typeface="Times New Roman"/>
              <a:cs typeface="Times New Roman"/>
            </a:rPr>
            <a:t>   </a:t>
          </a:r>
          <a:r>
            <a:rPr lang="en-US" sz="1000" b="1" i="0" strike="noStrike">
              <a:solidFill>
                <a:srgbClr val="000000"/>
              </a:solidFill>
              <a:latin typeface="Times New Roman"/>
              <a:cs typeface="Times New Roman"/>
            </a:rPr>
            <a:t>In common size analysis, all income statement items are divided by sales, and all balance sheet items are divided by total assets.</a:t>
          </a:r>
        </a:p>
        <a:p>
          <a:pPr algn="l" rtl="0">
            <a:defRPr sz="1000"/>
          </a:pPr>
          <a:endParaRPr lang="en-US" sz="1000" b="1" i="0" strike="noStrike">
            <a:solidFill>
              <a:srgbClr val="000000"/>
            </a:solidFill>
            <a:latin typeface="Times New Roman"/>
            <a:cs typeface="Times New Roman"/>
          </a:endParaRPr>
        </a:p>
        <a:p>
          <a:pPr algn="l" rtl="0">
            <a:defRPr sz="1000"/>
          </a:pPr>
          <a:r>
            <a:rPr lang="en-US" sz="1000" b="1" i="0" strike="noStrike">
              <a:solidFill>
                <a:srgbClr val="000000"/>
              </a:solidFill>
              <a:latin typeface="Times New Roman"/>
              <a:cs typeface="Times New Roman"/>
            </a:rPr>
            <a:t>   In percent change analysis, all items are expressed as a percent change from the first year, called the base year, of the analysis.</a:t>
          </a:r>
        </a:p>
      </xdr:txBody>
    </xdr:sp>
    <xdr:clientData/>
  </xdr:twoCellAnchor>
  <xdr:twoCellAnchor>
    <xdr:from>
      <xdr:col>7</xdr:col>
      <xdr:colOff>289560</xdr:colOff>
      <xdr:row>82</xdr:row>
      <xdr:rowOff>38100</xdr:rowOff>
    </xdr:from>
    <xdr:to>
      <xdr:col>7</xdr:col>
      <xdr:colOff>289560</xdr:colOff>
      <xdr:row>82</xdr:row>
      <xdr:rowOff>38100</xdr:rowOff>
    </xdr:to>
    <xdr:sp macro="" textlink="">
      <xdr:nvSpPr>
        <xdr:cNvPr id="1279" name="Line 70"/>
        <xdr:cNvSpPr>
          <a:spLocks noChangeShapeType="1"/>
        </xdr:cNvSpPr>
      </xdr:nvSpPr>
      <xdr:spPr bwMode="auto">
        <a:xfrm>
          <a:off x="738378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0" name="Line 72"/>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twoCellAnchor>
    <xdr:from>
      <xdr:col>10</xdr:col>
      <xdr:colOff>0</xdr:colOff>
      <xdr:row>82</xdr:row>
      <xdr:rowOff>38100</xdr:rowOff>
    </xdr:from>
    <xdr:to>
      <xdr:col>10</xdr:col>
      <xdr:colOff>0</xdr:colOff>
      <xdr:row>82</xdr:row>
      <xdr:rowOff>38100</xdr:rowOff>
    </xdr:to>
    <xdr:sp macro="" textlink="">
      <xdr:nvSpPr>
        <xdr:cNvPr id="1281" name="Line 73"/>
        <xdr:cNvSpPr>
          <a:spLocks noChangeShapeType="1"/>
        </xdr:cNvSpPr>
      </xdr:nvSpPr>
      <xdr:spPr bwMode="auto">
        <a:xfrm>
          <a:off x="9585960" y="14272260"/>
          <a:ext cx="0" cy="0"/>
        </a:xfrm>
        <a:prstGeom prst="line">
          <a:avLst/>
        </a:prstGeom>
        <a:noFill/>
        <a:ln w="9525">
          <a:solidFill>
            <a:srgbClr val="000000"/>
          </a:solidFill>
          <a:round/>
          <a:headEnd/>
          <a:tailEnd/>
        </a:ln>
        <a:effectLst>
          <a:outerShdw dist="35921" dir="2700000" algn="ctr" rotWithShape="0">
            <a:srgbClr val="000000"/>
          </a:outerShdw>
        </a:effectLst>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205740</xdr:colOff>
      <xdr:row>6</xdr:row>
      <xdr:rowOff>38100</xdr:rowOff>
    </xdr:from>
    <xdr:to>
      <xdr:col>14</xdr:col>
      <xdr:colOff>548640</xdr:colOff>
      <xdr:row>7</xdr:row>
      <xdr:rowOff>7620</xdr:rowOff>
    </xdr:to>
    <xdr:sp macro="[0]!DuPontTree_SelectYear4" textlink="">
      <xdr:nvSpPr>
        <xdr:cNvPr id="887922" name="Oval 499"/>
        <xdr:cNvSpPr>
          <a:spLocks noChangeArrowheads="1"/>
        </xdr:cNvSpPr>
      </xdr:nvSpPr>
      <xdr:spPr bwMode="auto">
        <a:xfrm>
          <a:off x="9083040" y="118872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5</xdr:row>
      <xdr:rowOff>38100</xdr:rowOff>
    </xdr:from>
    <xdr:to>
      <xdr:col>14</xdr:col>
      <xdr:colOff>548640</xdr:colOff>
      <xdr:row>6</xdr:row>
      <xdr:rowOff>7620</xdr:rowOff>
    </xdr:to>
    <xdr:sp macro="[0]!DuPontTree_SelectYear3" textlink="">
      <xdr:nvSpPr>
        <xdr:cNvPr id="887923" name="Oval 498"/>
        <xdr:cNvSpPr>
          <a:spLocks noChangeArrowheads="1"/>
        </xdr:cNvSpPr>
      </xdr:nvSpPr>
      <xdr:spPr bwMode="auto">
        <a:xfrm>
          <a:off x="9083040" y="98298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4</xdr:row>
      <xdr:rowOff>38100</xdr:rowOff>
    </xdr:from>
    <xdr:to>
      <xdr:col>14</xdr:col>
      <xdr:colOff>548640</xdr:colOff>
      <xdr:row>5</xdr:row>
      <xdr:rowOff>7620</xdr:rowOff>
    </xdr:to>
    <xdr:sp macro="[0]!DuPontTree_SelectYear2" textlink="">
      <xdr:nvSpPr>
        <xdr:cNvPr id="887924" name="Oval 497"/>
        <xdr:cNvSpPr>
          <a:spLocks noChangeArrowheads="1"/>
        </xdr:cNvSpPr>
      </xdr:nvSpPr>
      <xdr:spPr bwMode="auto">
        <a:xfrm>
          <a:off x="9083040" y="777240"/>
          <a:ext cx="342900" cy="17526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3</xdr:row>
      <xdr:rowOff>38100</xdr:rowOff>
    </xdr:from>
    <xdr:to>
      <xdr:col>14</xdr:col>
      <xdr:colOff>548640</xdr:colOff>
      <xdr:row>4</xdr:row>
      <xdr:rowOff>7620</xdr:rowOff>
    </xdr:to>
    <xdr:sp macro="[0]!DuPontTree_SelectYear1" textlink="">
      <xdr:nvSpPr>
        <xdr:cNvPr id="887925" name="Oval 496"/>
        <xdr:cNvSpPr>
          <a:spLocks noChangeArrowheads="1"/>
        </xdr:cNvSpPr>
      </xdr:nvSpPr>
      <xdr:spPr bwMode="auto">
        <a:xfrm>
          <a:off x="9083040" y="563880"/>
          <a:ext cx="342900" cy="182880"/>
        </a:xfrm>
        <a:prstGeom prst="ellipse">
          <a:avLst/>
        </a:prstGeom>
        <a:solidFill>
          <a:srgbClr val="FF0000">
            <a:alpha val="0"/>
          </a:srgbClr>
        </a:solidFill>
        <a:ln w="9525">
          <a:solidFill>
            <a:srgbClr val="000000"/>
          </a:solidFill>
          <a:round/>
          <a:headEnd/>
          <a:tailEnd/>
        </a:ln>
      </xdr:spPr>
    </xdr:sp>
    <xdr:clientData/>
  </xdr:twoCellAnchor>
  <xdr:twoCellAnchor>
    <xdr:from>
      <xdr:col>14</xdr:col>
      <xdr:colOff>205740</xdr:colOff>
      <xdr:row>2</xdr:row>
      <xdr:rowOff>30480</xdr:rowOff>
    </xdr:from>
    <xdr:to>
      <xdr:col>14</xdr:col>
      <xdr:colOff>541020</xdr:colOff>
      <xdr:row>3</xdr:row>
      <xdr:rowOff>7620</xdr:rowOff>
    </xdr:to>
    <xdr:sp macro="[0]!DuPontTree_SelectYear0" textlink="">
      <xdr:nvSpPr>
        <xdr:cNvPr id="887926" name="Oval 495"/>
        <xdr:cNvSpPr>
          <a:spLocks noChangeArrowheads="1"/>
        </xdr:cNvSpPr>
      </xdr:nvSpPr>
      <xdr:spPr bwMode="auto">
        <a:xfrm>
          <a:off x="9083040" y="350520"/>
          <a:ext cx="335280" cy="182880"/>
        </a:xfrm>
        <a:prstGeom prst="ellipse">
          <a:avLst/>
        </a:prstGeom>
        <a:solidFill>
          <a:srgbClr val="FF0000">
            <a:alpha val="0"/>
          </a:srgbClr>
        </a:solidFill>
        <a:ln w="9525">
          <a:solidFill>
            <a:srgbClr val="000000"/>
          </a:solidFill>
          <a:round/>
          <a:headEnd/>
          <a:tailEnd/>
        </a:ln>
      </xdr:spPr>
    </xdr:sp>
    <xdr:clientData/>
  </xdr:twoCellAnchor>
  <xdr:twoCellAnchor>
    <xdr:from>
      <xdr:col>5</xdr:col>
      <xdr:colOff>495300</xdr:colOff>
      <xdr:row>5</xdr:row>
      <xdr:rowOff>15240</xdr:rowOff>
    </xdr:from>
    <xdr:to>
      <xdr:col>6</xdr:col>
      <xdr:colOff>274320</xdr:colOff>
      <xdr:row>6</xdr:row>
      <xdr:rowOff>15240</xdr:rowOff>
    </xdr:to>
    <xdr:sp macro="[0]!chart_ROA" textlink="">
      <xdr:nvSpPr>
        <xdr:cNvPr id="887927" name="Rectangle 399"/>
        <xdr:cNvSpPr>
          <a:spLocks noChangeArrowheads="1"/>
        </xdr:cNvSpPr>
      </xdr:nvSpPr>
      <xdr:spPr bwMode="auto">
        <a:xfrm>
          <a:off x="4290060" y="960120"/>
          <a:ext cx="441960" cy="205740"/>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clientData/>
  </xdr:twoCellAnchor>
  <xdr:twoCellAnchor>
    <xdr:from>
      <xdr:col>0</xdr:col>
      <xdr:colOff>33618</xdr:colOff>
      <xdr:row>20</xdr:row>
      <xdr:rowOff>129540</xdr:rowOff>
    </xdr:from>
    <xdr:to>
      <xdr:col>16</xdr:col>
      <xdr:colOff>388620</xdr:colOff>
      <xdr:row>30</xdr:row>
      <xdr:rowOff>99060</xdr:rowOff>
    </xdr:to>
    <xdr:grpSp>
      <xdr:nvGrpSpPr>
        <xdr:cNvPr id="887928" name="Group 9"/>
        <xdr:cNvGrpSpPr>
          <a:grpSpLocks/>
        </xdr:cNvGrpSpPr>
      </xdr:nvGrpSpPr>
      <xdr:grpSpPr bwMode="auto">
        <a:xfrm>
          <a:off x="33618" y="3698240"/>
          <a:ext cx="11658002" cy="1645920"/>
          <a:chOff x="8697" y="3953649"/>
          <a:chExt cx="9897294" cy="1673945"/>
        </a:xfrm>
      </xdr:grpSpPr>
      <xdr:sp macro="" textlink="">
        <xdr:nvSpPr>
          <xdr:cNvPr id="887995" name="Line 305"/>
          <xdr:cNvSpPr>
            <a:spLocks noChangeShapeType="1"/>
          </xdr:cNvSpPr>
        </xdr:nvSpPr>
        <xdr:spPr bwMode="auto">
          <a:xfrm>
            <a:off x="8215824"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6" name="Line 306"/>
          <xdr:cNvSpPr>
            <a:spLocks noChangeShapeType="1"/>
          </xdr:cNvSpPr>
        </xdr:nvSpPr>
        <xdr:spPr bwMode="auto">
          <a:xfrm>
            <a:off x="9055236"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7" name="Line 307"/>
          <xdr:cNvSpPr>
            <a:spLocks noChangeShapeType="1"/>
          </xdr:cNvSpPr>
        </xdr:nvSpPr>
        <xdr:spPr bwMode="auto">
          <a:xfrm>
            <a:off x="9905991" y="4686000"/>
            <a:ext cx="0" cy="23539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8" name="Line 179"/>
          <xdr:cNvSpPr>
            <a:spLocks noChangeShapeType="1"/>
          </xdr:cNvSpPr>
        </xdr:nvSpPr>
        <xdr:spPr bwMode="auto">
          <a:xfrm>
            <a:off x="9072251" y="5477201"/>
            <a:ext cx="0" cy="13077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9" name="Line 180"/>
          <xdr:cNvSpPr>
            <a:spLocks noChangeShapeType="1"/>
          </xdr:cNvSpPr>
        </xdr:nvSpPr>
        <xdr:spPr bwMode="auto">
          <a:xfrm flipH="1">
            <a:off x="679194" y="5607977"/>
            <a:ext cx="8412480" cy="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8000" name="Line 181"/>
          <xdr:cNvSpPr>
            <a:spLocks noChangeShapeType="1"/>
          </xdr:cNvSpPr>
        </xdr:nvSpPr>
        <xdr:spPr bwMode="auto">
          <a:xfrm flipV="1">
            <a:off x="672151" y="3953649"/>
            <a:ext cx="0" cy="165432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3</xdr:col>
      <xdr:colOff>373380</xdr:colOff>
      <xdr:row>5</xdr:row>
      <xdr:rowOff>0</xdr:rowOff>
    </xdr:from>
    <xdr:to>
      <xdr:col>12</xdr:col>
      <xdr:colOff>335280</xdr:colOff>
      <xdr:row>7</xdr:row>
      <xdr:rowOff>30480</xdr:rowOff>
    </xdr:to>
    <xdr:grpSp>
      <xdr:nvGrpSpPr>
        <xdr:cNvPr id="887929" name="Group 413"/>
        <xdr:cNvGrpSpPr>
          <a:grpSpLocks/>
        </xdr:cNvGrpSpPr>
      </xdr:nvGrpSpPr>
      <xdr:grpSpPr bwMode="auto">
        <a:xfrm>
          <a:off x="3027680" y="952500"/>
          <a:ext cx="6426200" cy="436880"/>
          <a:chOff x="443" y="151"/>
          <a:chExt cx="894" cy="69"/>
        </a:xfrm>
      </xdr:grpSpPr>
      <xdr:sp macro="" textlink="">
        <xdr:nvSpPr>
          <xdr:cNvPr id="887993" name="AutoShape 279"/>
          <xdr:cNvSpPr>
            <a:spLocks/>
          </xdr:cNvSpPr>
        </xdr:nvSpPr>
        <xdr:spPr bwMode="auto">
          <a:xfrm rot="-5400000">
            <a:off x="880" y="-245"/>
            <a:ext cx="20" cy="894"/>
          </a:xfrm>
          <a:prstGeom prst="rightBracket">
            <a:avLst>
              <a:gd name="adj" fmla="val 3725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4" name="Line 283"/>
          <xdr:cNvSpPr>
            <a:spLocks noChangeShapeType="1"/>
          </xdr:cNvSpPr>
        </xdr:nvSpPr>
        <xdr:spPr bwMode="auto">
          <a:xfrm>
            <a:off x="919" y="151"/>
            <a:ext cx="0" cy="6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xdr:col>
      <xdr:colOff>327660</xdr:colOff>
      <xdr:row>10</xdr:row>
      <xdr:rowOff>30480</xdr:rowOff>
    </xdr:from>
    <xdr:to>
      <xdr:col>16</xdr:col>
      <xdr:colOff>381000</xdr:colOff>
      <xdr:row>12</xdr:row>
      <xdr:rowOff>22860</xdr:rowOff>
    </xdr:to>
    <xdr:grpSp>
      <xdr:nvGrpSpPr>
        <xdr:cNvPr id="887930" name="Group 405"/>
        <xdr:cNvGrpSpPr>
          <a:grpSpLocks/>
        </xdr:cNvGrpSpPr>
      </xdr:nvGrpSpPr>
      <xdr:grpSpPr bwMode="auto">
        <a:xfrm>
          <a:off x="2156460" y="1960880"/>
          <a:ext cx="9527540" cy="373380"/>
          <a:chOff x="316" y="312"/>
          <a:chExt cx="1316" cy="57"/>
        </a:xfrm>
      </xdr:grpSpPr>
      <xdr:sp macro="" textlink="">
        <xdr:nvSpPr>
          <xdr:cNvPr id="887986" name="AutoShape 280"/>
          <xdr:cNvSpPr>
            <a:spLocks/>
          </xdr:cNvSpPr>
        </xdr:nvSpPr>
        <xdr:spPr bwMode="auto">
          <a:xfrm rot="-5400000">
            <a:off x="473" y="189"/>
            <a:ext cx="22" cy="336"/>
          </a:xfrm>
          <a:prstGeom prst="rightBracket">
            <a:avLst>
              <a:gd name="adj" fmla="val 127273"/>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7" name="AutoShape 281"/>
          <xdr:cNvSpPr>
            <a:spLocks/>
          </xdr:cNvSpPr>
        </xdr:nvSpPr>
        <xdr:spPr bwMode="auto">
          <a:xfrm rot="-5400000">
            <a:off x="849" y="146"/>
            <a:ext cx="23" cy="420"/>
          </a:xfrm>
          <a:prstGeom prst="rightBracket">
            <a:avLst>
              <a:gd name="adj" fmla="val 152174"/>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8" name="AutoShape 282"/>
          <xdr:cNvSpPr>
            <a:spLocks/>
          </xdr:cNvSpPr>
        </xdr:nvSpPr>
        <xdr:spPr bwMode="auto">
          <a:xfrm rot="-5400000">
            <a:off x="1204" y="210"/>
            <a:ext cx="23" cy="296"/>
          </a:xfrm>
          <a:prstGeom prst="rightBracket">
            <a:avLst>
              <a:gd name="adj" fmla="val 107246"/>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9" name="Line 284"/>
          <xdr:cNvSpPr>
            <a:spLocks noChangeShapeType="1"/>
          </xdr:cNvSpPr>
        </xdr:nvSpPr>
        <xdr:spPr bwMode="auto">
          <a:xfrm>
            <a:off x="919" y="312"/>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0" name="AutoShape 285"/>
          <xdr:cNvSpPr>
            <a:spLocks/>
          </xdr:cNvSpPr>
        </xdr:nvSpPr>
        <xdr:spPr bwMode="auto">
          <a:xfrm rot="-5400000">
            <a:off x="1487" y="223"/>
            <a:ext cx="23" cy="266"/>
          </a:xfrm>
          <a:prstGeom prst="rightBracket">
            <a:avLst>
              <a:gd name="adj" fmla="val 96377"/>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91" name="Line 286"/>
          <xdr:cNvSpPr>
            <a:spLocks noChangeShapeType="1"/>
          </xdr:cNvSpPr>
        </xdr:nvSpPr>
        <xdr:spPr bwMode="auto">
          <a:xfrm>
            <a:off x="437" y="314"/>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92" name="AutoShape 308"/>
          <xdr:cNvSpPr>
            <a:spLocks/>
          </xdr:cNvSpPr>
        </xdr:nvSpPr>
        <xdr:spPr bwMode="auto">
          <a:xfrm rot="-5400000">
            <a:off x="1335" y="190"/>
            <a:ext cx="30" cy="282"/>
          </a:xfrm>
          <a:prstGeom prst="rightBrace">
            <a:avLst>
              <a:gd name="adj1" fmla="val 78333"/>
              <a:gd name="adj2" fmla="val 4850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281940</xdr:colOff>
      <xdr:row>15</xdr:row>
      <xdr:rowOff>45720</xdr:rowOff>
    </xdr:from>
    <xdr:to>
      <xdr:col>16</xdr:col>
      <xdr:colOff>388620</xdr:colOff>
      <xdr:row>17</xdr:row>
      <xdr:rowOff>45720</xdr:rowOff>
    </xdr:to>
    <xdr:grpSp>
      <xdr:nvGrpSpPr>
        <xdr:cNvPr id="887931" name="Group 406"/>
        <xdr:cNvGrpSpPr>
          <a:grpSpLocks/>
        </xdr:cNvGrpSpPr>
      </xdr:nvGrpSpPr>
      <xdr:grpSpPr bwMode="auto">
        <a:xfrm>
          <a:off x="281940" y="2623820"/>
          <a:ext cx="11409680" cy="304800"/>
          <a:chOff x="45" y="413"/>
          <a:chExt cx="1589" cy="52"/>
        </a:xfrm>
      </xdr:grpSpPr>
      <xdr:sp macro="" textlink="">
        <xdr:nvSpPr>
          <xdr:cNvPr id="887976" name="Line 289"/>
          <xdr:cNvSpPr>
            <a:spLocks noChangeShapeType="1"/>
          </xdr:cNvSpPr>
        </xdr:nvSpPr>
        <xdr:spPr bwMode="auto">
          <a:xfrm flipH="1">
            <a:off x="316" y="413"/>
            <a:ext cx="0" cy="5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7" name="Line 298"/>
          <xdr:cNvSpPr>
            <a:spLocks noChangeShapeType="1"/>
          </xdr:cNvSpPr>
        </xdr:nvSpPr>
        <xdr:spPr bwMode="auto">
          <a:xfrm>
            <a:off x="10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8" name="Line 300"/>
          <xdr:cNvSpPr>
            <a:spLocks noChangeShapeType="1"/>
          </xdr:cNvSpPr>
        </xdr:nvSpPr>
        <xdr:spPr bwMode="auto">
          <a:xfrm flipH="1">
            <a:off x="1367" y="413"/>
            <a:ext cx="0" cy="32"/>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9" name="Line 304"/>
          <xdr:cNvSpPr>
            <a:spLocks noChangeShapeType="1"/>
          </xdr:cNvSpPr>
        </xdr:nvSpPr>
        <xdr:spPr bwMode="auto">
          <a:xfrm>
            <a:off x="1634"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0" name="AutoShape 287"/>
          <xdr:cNvSpPr>
            <a:spLocks/>
          </xdr:cNvSpPr>
        </xdr:nvSpPr>
        <xdr:spPr bwMode="auto">
          <a:xfrm rot="-5400000">
            <a:off x="295" y="195"/>
            <a:ext cx="19" cy="519"/>
          </a:xfrm>
          <a:prstGeom prst="rightBracket">
            <a:avLst>
              <a:gd name="adj" fmla="val 227632"/>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1" name="Line 290"/>
          <xdr:cNvSpPr>
            <a:spLocks noChangeShapeType="1"/>
          </xdr:cNvSpPr>
        </xdr:nvSpPr>
        <xdr:spPr bwMode="auto">
          <a:xfrm>
            <a:off x="438" y="445"/>
            <a:ext cx="0" cy="20"/>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2" name="Line 291"/>
          <xdr:cNvSpPr>
            <a:spLocks noChangeShapeType="1"/>
          </xdr:cNvSpPr>
        </xdr:nvSpPr>
        <xdr:spPr bwMode="auto">
          <a:xfrm>
            <a:off x="653" y="413"/>
            <a:ext cx="0" cy="4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83" name="AutoShape 296"/>
          <xdr:cNvSpPr>
            <a:spLocks/>
          </xdr:cNvSpPr>
        </xdr:nvSpPr>
        <xdr:spPr bwMode="auto">
          <a:xfrm rot="-5400000">
            <a:off x="1047" y="318"/>
            <a:ext cx="19" cy="274"/>
          </a:xfrm>
          <a:prstGeom prst="rightBracket">
            <a:avLst>
              <a:gd name="adj" fmla="val 120175"/>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4" name="AutoShape 299"/>
          <xdr:cNvSpPr>
            <a:spLocks/>
          </xdr:cNvSpPr>
        </xdr:nvSpPr>
        <xdr:spPr bwMode="auto">
          <a:xfrm rot="-5400000">
            <a:off x="1400" y="380"/>
            <a:ext cx="19" cy="151"/>
          </a:xfrm>
          <a:prstGeom prst="rightBracket">
            <a:avLst>
              <a:gd name="adj" fmla="val 66228"/>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85" name="Line 314"/>
          <xdr:cNvSpPr>
            <a:spLocks noChangeShapeType="1"/>
          </xdr:cNvSpPr>
        </xdr:nvSpPr>
        <xdr:spPr bwMode="auto">
          <a:xfrm flipH="1">
            <a:off x="172" y="445"/>
            <a:ext cx="0" cy="18"/>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0</xdr:col>
      <xdr:colOff>312420</xdr:colOff>
      <xdr:row>19</xdr:row>
      <xdr:rowOff>121920</xdr:rowOff>
    </xdr:from>
    <xdr:to>
      <xdr:col>16</xdr:col>
      <xdr:colOff>403860</xdr:colOff>
      <xdr:row>21</xdr:row>
      <xdr:rowOff>106680</xdr:rowOff>
    </xdr:to>
    <xdr:grpSp>
      <xdr:nvGrpSpPr>
        <xdr:cNvPr id="887932" name="Group 14"/>
        <xdr:cNvGrpSpPr>
          <a:grpSpLocks/>
        </xdr:cNvGrpSpPr>
      </xdr:nvGrpSpPr>
      <xdr:grpSpPr bwMode="auto">
        <a:xfrm>
          <a:off x="312420" y="3487420"/>
          <a:ext cx="11394440" cy="353060"/>
          <a:chOff x="307858" y="3748076"/>
          <a:chExt cx="9607667" cy="345915"/>
        </a:xfrm>
      </xdr:grpSpPr>
      <xdr:sp macro="" textlink="">
        <xdr:nvSpPr>
          <xdr:cNvPr id="887967" name="AutoShape 178"/>
          <xdr:cNvSpPr>
            <a:spLocks/>
          </xdr:cNvSpPr>
        </xdr:nvSpPr>
        <xdr:spPr bwMode="auto">
          <a:xfrm rot="-5400000">
            <a:off x="562460" y="3516535"/>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887968" name="AutoShape 292"/>
          <xdr:cNvSpPr>
            <a:spLocks/>
          </xdr:cNvSpPr>
        </xdr:nvSpPr>
        <xdr:spPr bwMode="auto">
          <a:xfrm rot="-5400000">
            <a:off x="5546979" y="3146150"/>
            <a:ext cx="138366" cy="1757315"/>
          </a:xfrm>
          <a:prstGeom prst="rightBracket">
            <a:avLst>
              <a:gd name="adj" fmla="val 115069"/>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nvGrpSpPr>
          <xdr:cNvPr id="887969" name="Group 408"/>
          <xdr:cNvGrpSpPr>
            <a:grpSpLocks/>
          </xdr:cNvGrpSpPr>
        </xdr:nvGrpSpPr>
        <xdr:grpSpPr bwMode="auto">
          <a:xfrm>
            <a:off x="5594953" y="3748076"/>
            <a:ext cx="4320572" cy="342620"/>
            <a:chOff x="922" y="572"/>
            <a:chExt cx="713" cy="61"/>
          </a:xfrm>
        </xdr:grpSpPr>
        <xdr:sp macro="" textlink="">
          <xdr:nvSpPr>
            <xdr:cNvPr id="887971" name="Line 293"/>
            <xdr:cNvSpPr>
              <a:spLocks noChangeShapeType="1"/>
            </xdr:cNvSpPr>
          </xdr:nvSpPr>
          <xdr:spPr bwMode="auto">
            <a:xfrm>
              <a:off x="922"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2" name="Line 295"/>
            <xdr:cNvSpPr>
              <a:spLocks noChangeShapeType="1"/>
            </xdr:cNvSpPr>
          </xdr:nvSpPr>
          <xdr:spPr bwMode="auto">
            <a:xfrm>
              <a:off x="1190" y="572"/>
              <a:ext cx="0" cy="59"/>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3" name="Line 302"/>
            <xdr:cNvSpPr>
              <a:spLocks noChangeShapeType="1"/>
            </xdr:cNvSpPr>
          </xdr:nvSpPr>
          <xdr:spPr bwMode="auto">
            <a:xfrm>
              <a:off x="1489"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4" name="Line 303"/>
            <xdr:cNvSpPr>
              <a:spLocks noChangeShapeType="1"/>
            </xdr:cNvSpPr>
          </xdr:nvSpPr>
          <xdr:spPr bwMode="auto">
            <a:xfrm>
              <a:off x="1635" y="572"/>
              <a:ext cx="0" cy="57"/>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887975" name="Line 301"/>
            <xdr:cNvSpPr>
              <a:spLocks noChangeShapeType="1"/>
            </xdr:cNvSpPr>
          </xdr:nvSpPr>
          <xdr:spPr bwMode="auto">
            <a:xfrm>
              <a:off x="1336" y="572"/>
              <a:ext cx="0" cy="61"/>
            </a:xfrm>
            <a:prstGeom prst="line">
              <a:avLst/>
            </a:prstGeom>
            <a:noFill/>
            <a:ln w="12700">
              <a:solidFill>
                <a:srgbClr val="000000"/>
              </a:solidFill>
              <a:round/>
              <a:headEnd/>
              <a:tailEnd/>
            </a:ln>
            <a:extLst>
              <a:ext uri="{909E8E84-426E-40DD-AFC4-6F175D3DCCD1}">
                <a14:hiddenFill xmlns:a14="http://schemas.microsoft.com/office/drawing/2010/main">
                  <a:noFill/>
                </a14:hiddenFill>
              </a:ext>
            </a:extLst>
          </xdr:spPr>
        </xdr:sp>
      </xdr:grpSp>
      <xdr:sp macro="[0]!chart_InterestNonOpExpTaxes" textlink="">
        <xdr:nvSpPr>
          <xdr:cNvPr id="887970" name="AutoShape 178"/>
          <xdr:cNvSpPr>
            <a:spLocks/>
          </xdr:cNvSpPr>
        </xdr:nvSpPr>
        <xdr:spPr bwMode="auto">
          <a:xfrm rot="-5400000">
            <a:off x="2249249" y="3532986"/>
            <a:ext cx="224021" cy="733225"/>
          </a:xfrm>
          <a:prstGeom prst="leftBrace">
            <a:avLst>
              <a:gd name="adj1" fmla="val 29654"/>
              <a:gd name="adj2" fmla="val 50000"/>
            </a:avLst>
          </a:prstGeom>
          <a:noFill/>
          <a:ln w="12700">
            <a:solidFill>
              <a:srgbClr val="000000"/>
            </a:solidFill>
            <a:round/>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0</xdr:col>
      <xdr:colOff>22860</xdr:colOff>
      <xdr:row>2</xdr:row>
      <xdr:rowOff>60960</xdr:rowOff>
    </xdr:from>
    <xdr:to>
      <xdr:col>17</xdr:col>
      <xdr:colOff>22860</xdr:colOff>
      <xdr:row>28</xdr:row>
      <xdr:rowOff>0</xdr:rowOff>
    </xdr:to>
    <xdr:grpSp>
      <xdr:nvGrpSpPr>
        <xdr:cNvPr id="887933" name="Group 15"/>
        <xdr:cNvGrpSpPr>
          <a:grpSpLocks/>
        </xdr:cNvGrpSpPr>
      </xdr:nvGrpSpPr>
      <xdr:grpSpPr bwMode="auto">
        <a:xfrm>
          <a:off x="22860" y="391160"/>
          <a:ext cx="12065000" cy="4447540"/>
          <a:chOff x="22412" y="403412"/>
          <a:chExt cx="10197353" cy="4684058"/>
        </a:xfrm>
      </xdr:grpSpPr>
      <xdr:grpSp>
        <xdr:nvGrpSpPr>
          <xdr:cNvPr id="83" name="Group 434"/>
          <xdr:cNvGrpSpPr>
            <a:grpSpLocks/>
          </xdr:cNvGrpSpPr>
        </xdr:nvGrpSpPr>
        <xdr:grpSpPr bwMode="auto">
          <a:xfrm>
            <a:off x="7798544" y="4952962"/>
            <a:ext cx="2421221" cy="134508"/>
            <a:chOff x="1282" y="749"/>
            <a:chExt cx="400" cy="31"/>
          </a:xfrm>
          <a:noFill/>
        </xdr:grpSpPr>
        <xdr:sp macro="[0]!chart_QuickRatio" textlink="">
          <xdr:nvSpPr>
            <xdr:cNvPr id="540418" name="Rectangle 360"/>
            <xdr:cNvSpPr>
              <a:spLocks noChangeArrowheads="1"/>
            </xdr:cNvSpPr>
          </xdr:nvSpPr>
          <xdr:spPr bwMode="auto">
            <a:xfrm>
              <a:off x="1282" y="749"/>
              <a:ext cx="109"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PM" textlink="">
          <xdr:nvSpPr>
            <xdr:cNvPr id="540419" name="Rectangle 361"/>
            <xdr:cNvSpPr>
              <a:spLocks noChangeArrowheads="1"/>
            </xdr:cNvSpPr>
          </xdr:nvSpPr>
          <xdr:spPr bwMode="auto">
            <a:xfrm>
              <a:off x="1426" y="749"/>
              <a:ext cx="123"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MB" textlink="">
          <xdr:nvSpPr>
            <xdr:cNvPr id="540420" name="Rectangle 362"/>
            <xdr:cNvSpPr>
              <a:spLocks noChangeArrowheads="1"/>
            </xdr:cNvSpPr>
          </xdr:nvSpPr>
          <xdr:spPr bwMode="auto">
            <a:xfrm>
              <a:off x="1570" y="749"/>
              <a:ext cx="112" cy="31"/>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2" name="Group 428"/>
          <xdr:cNvGrpSpPr>
            <a:grpSpLocks/>
          </xdr:cNvGrpSpPr>
        </xdr:nvGrpSpPr>
        <xdr:grpSpPr bwMode="auto">
          <a:xfrm>
            <a:off x="4337534" y="4169648"/>
            <a:ext cx="5859950" cy="150333"/>
            <a:chOff x="714" y="620"/>
            <a:chExt cx="968" cy="34"/>
          </a:xfrm>
          <a:noFill/>
        </xdr:grpSpPr>
        <xdr:sp macro="[0]!chart_InventoryTO" textlink="">
          <xdr:nvSpPr>
            <xdr:cNvPr id="540425" name="Rectangle 326"/>
            <xdr:cNvSpPr>
              <a:spLocks noChangeArrowheads="1"/>
            </xdr:cNvSpPr>
          </xdr:nvSpPr>
          <xdr:spPr bwMode="auto">
            <a:xfrm>
              <a:off x="837" y="622"/>
              <a:ext cx="16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ashCycle" textlink="">
          <xdr:nvSpPr>
            <xdr:cNvPr id="540426" name="Rectangle 336"/>
            <xdr:cNvSpPr>
              <a:spLocks noChangeArrowheads="1"/>
            </xdr:cNvSpPr>
          </xdr:nvSpPr>
          <xdr:spPr bwMode="auto">
            <a:xfrm>
              <a:off x="714" y="622"/>
              <a:ext cx="118"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SO" textlink="">
          <xdr:nvSpPr>
            <xdr:cNvPr id="540427" name="Rectangle 337"/>
            <xdr:cNvSpPr>
              <a:spLocks noChangeArrowheads="1"/>
            </xdr:cNvSpPr>
          </xdr:nvSpPr>
          <xdr:spPr bwMode="auto">
            <a:xfrm>
              <a:off x="1011" y="622"/>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FAT" textlink="">
          <xdr:nvSpPr>
            <xdr:cNvPr id="540428" name="Rectangle 338"/>
            <xdr:cNvSpPr>
              <a:spLocks noChangeArrowheads="1"/>
            </xdr:cNvSpPr>
          </xdr:nvSpPr>
          <xdr:spPr bwMode="auto">
            <a:xfrm>
              <a:off x="1130" y="622"/>
              <a:ext cx="121"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urrentRatio" textlink="">
          <xdr:nvSpPr>
            <xdr:cNvPr id="540429" name="Rectangle 357"/>
            <xdr:cNvSpPr>
              <a:spLocks noChangeArrowheads="1"/>
            </xdr:cNvSpPr>
          </xdr:nvSpPr>
          <xdr:spPr bwMode="auto">
            <a:xfrm>
              <a:off x="1282" y="620"/>
              <a:ext cx="109"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IE" textlink="">
          <xdr:nvSpPr>
            <xdr:cNvPr id="540430" name="Rectangle 358"/>
            <xdr:cNvSpPr>
              <a:spLocks noChangeArrowheads="1"/>
            </xdr:cNvSpPr>
          </xdr:nvSpPr>
          <xdr:spPr bwMode="auto">
            <a:xfrm>
              <a:off x="1426" y="620"/>
              <a:ext cx="123"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PE" textlink="">
          <xdr:nvSpPr>
            <xdr:cNvPr id="540431" name="Rectangle 359"/>
            <xdr:cNvSpPr>
              <a:spLocks noChangeArrowheads="1"/>
            </xdr:cNvSpPr>
          </xdr:nvSpPr>
          <xdr:spPr bwMode="auto">
            <a:xfrm>
              <a:off x="1570" y="620"/>
              <a:ext cx="112"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TotalOpCostExp" textlink="">
        <xdr:nvSpPr>
          <xdr:cNvPr id="540401" name="Rectangle 432"/>
          <xdr:cNvSpPr>
            <a:spLocks noChangeArrowheads="1"/>
          </xdr:cNvSpPr>
        </xdr:nvSpPr>
        <xdr:spPr bwMode="auto">
          <a:xfrm>
            <a:off x="490317" y="3853157"/>
            <a:ext cx="401061" cy="24528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nvGrpSpPr>
          <xdr:cNvPr id="887937" name="Group 7"/>
          <xdr:cNvGrpSpPr>
            <a:grpSpLocks/>
          </xdr:cNvGrpSpPr>
        </xdr:nvGrpSpPr>
        <xdr:grpSpPr bwMode="auto">
          <a:xfrm>
            <a:off x="2340426" y="403412"/>
            <a:ext cx="7194099" cy="1199029"/>
            <a:chOff x="2340426" y="403412"/>
            <a:chExt cx="7194099" cy="1199029"/>
          </a:xfrm>
        </xdr:grpSpPr>
        <xdr:sp macro="[0]!chart_ROE" textlink="">
          <xdr:nvSpPr>
            <xdr:cNvPr id="540403" name="Rectangle 320"/>
            <xdr:cNvSpPr>
              <a:spLocks noChangeArrowheads="1"/>
            </xdr:cNvSpPr>
          </xdr:nvSpPr>
          <xdr:spPr bwMode="auto">
            <a:xfrm>
              <a:off x="5095094" y="403412"/>
              <a:ext cx="1024934" cy="134508"/>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EquityMultiplier" textlink="">
          <xdr:nvSpPr>
            <xdr:cNvPr id="887952" name="Rectangle 399"/>
            <xdr:cNvSpPr>
              <a:spLocks noChangeArrowheads="1"/>
            </xdr:cNvSpPr>
          </xdr:nvSpPr>
          <xdr:spPr bwMode="auto">
            <a:xfrm>
              <a:off x="8679516" y="1451722"/>
              <a:ext cx="855009" cy="128307"/>
            </a:xfrm>
            <a:prstGeom prst="rect">
              <a:avLst/>
            </a:prstGeom>
            <a:noFill/>
            <a:ln>
              <a:noFill/>
            </a:ln>
            <a:effectLst>
              <a:outerShdw dist="35921" dir="2700000" algn="ctr" rotWithShape="0">
                <a:srgbClr val="000000"/>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sp>
        <xdr:sp macro="[0]!chart_NPM" textlink="">
          <xdr:nvSpPr>
            <xdr:cNvPr id="540421" name="Rectangle 327"/>
            <xdr:cNvSpPr>
              <a:spLocks noChangeArrowheads="1"/>
            </xdr:cNvSpPr>
          </xdr:nvSpPr>
          <xdr:spPr bwMode="auto">
            <a:xfrm>
              <a:off x="2339655" y="1432006"/>
              <a:ext cx="675862"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TO" textlink="">
          <xdr:nvSpPr>
            <xdr:cNvPr id="540422" name="Rectangle 328"/>
            <xdr:cNvSpPr>
              <a:spLocks noChangeArrowheads="1"/>
            </xdr:cNvSpPr>
          </xdr:nvSpPr>
          <xdr:spPr bwMode="auto">
            <a:xfrm>
              <a:off x="5087667" y="1432006"/>
              <a:ext cx="1032361"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DebtRatio" textlink="">
          <xdr:nvSpPr>
            <xdr:cNvPr id="540423" name="Rectangle 339"/>
            <xdr:cNvSpPr>
              <a:spLocks noChangeArrowheads="1"/>
            </xdr:cNvSpPr>
          </xdr:nvSpPr>
          <xdr:spPr bwMode="auto">
            <a:xfrm>
              <a:off x="7805971" y="1432006"/>
              <a:ext cx="638727" cy="17407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24" name="Rectangle 366"/>
            <xdr:cNvSpPr>
              <a:spLocks noChangeArrowheads="1"/>
            </xdr:cNvSpPr>
          </xdr:nvSpPr>
          <xdr:spPr bwMode="auto">
            <a:xfrm>
              <a:off x="4085014" y="1083866"/>
              <a:ext cx="623873" cy="142421"/>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grpSp>
        <xdr:nvGrpSpPr>
          <xdr:cNvPr id="81" name="Group 433"/>
          <xdr:cNvGrpSpPr>
            <a:grpSpLocks/>
          </xdr:cNvGrpSpPr>
        </xdr:nvGrpSpPr>
        <xdr:grpSpPr bwMode="auto">
          <a:xfrm>
            <a:off x="22412" y="3259738"/>
            <a:ext cx="10167645" cy="205719"/>
            <a:chOff x="0" y="464"/>
            <a:chExt cx="1678" cy="42"/>
          </a:xfrm>
          <a:noFill/>
        </xdr:grpSpPr>
        <xdr:sp macro="[0]!chart_NonOpExp" textlink="">
          <xdr:nvSpPr>
            <xdr:cNvPr id="540407" name="Rectangle 330"/>
            <xdr:cNvSpPr>
              <a:spLocks noChangeArrowheads="1"/>
            </xdr:cNvSpPr>
          </xdr:nvSpPr>
          <xdr:spPr bwMode="auto">
            <a:xfrm>
              <a:off x="389" y="466"/>
              <a:ext cx="103"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Taxes" textlink="">
          <xdr:nvSpPr>
            <xdr:cNvPr id="540408" name="Rectangle 331"/>
            <xdr:cNvSpPr>
              <a:spLocks noChangeArrowheads="1"/>
            </xdr:cNvSpPr>
          </xdr:nvSpPr>
          <xdr:spPr bwMode="auto">
            <a:xfrm>
              <a:off x="503" y="466"/>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09" name="Rectangle 332"/>
            <xdr:cNvSpPr>
              <a:spLocks noChangeArrowheads="1"/>
            </xdr:cNvSpPr>
          </xdr:nvSpPr>
          <xdr:spPr bwMode="auto">
            <a:xfrm>
              <a:off x="614" y="467"/>
              <a:ext cx="102"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InterestExp" textlink="">
          <xdr:nvSpPr>
            <xdr:cNvPr id="540410" name="Rectangle 333"/>
            <xdr:cNvSpPr>
              <a:spLocks noChangeArrowheads="1"/>
            </xdr:cNvSpPr>
          </xdr:nvSpPr>
          <xdr:spPr bwMode="auto">
            <a:xfrm>
              <a:off x="271" y="466"/>
              <a:ext cx="107"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OtherOpExp" textlink="">
          <xdr:nvSpPr>
            <xdr:cNvPr id="540411" name="Rectangle 334"/>
            <xdr:cNvSpPr>
              <a:spLocks noChangeArrowheads="1"/>
            </xdr:cNvSpPr>
          </xdr:nvSpPr>
          <xdr:spPr bwMode="auto">
            <a:xfrm>
              <a:off x="120" y="464"/>
              <a:ext cx="140"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COGS" textlink="">
          <xdr:nvSpPr>
            <xdr:cNvPr id="540412" name="Rectangle 335"/>
            <xdr:cNvSpPr>
              <a:spLocks noChangeArrowheads="1"/>
            </xdr:cNvSpPr>
          </xdr:nvSpPr>
          <xdr:spPr bwMode="auto">
            <a:xfrm>
              <a:off x="0" y="466"/>
              <a:ext cx="110" cy="34"/>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A" textlink="">
          <xdr:nvSpPr>
            <xdr:cNvPr id="540413" name="Rectangle 371"/>
            <xdr:cNvSpPr>
              <a:spLocks noChangeArrowheads="1"/>
            </xdr:cNvSpPr>
          </xdr:nvSpPr>
          <xdr:spPr bwMode="auto">
            <a:xfrm>
              <a:off x="833" y="464"/>
              <a:ext cx="173"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AssetDistributionB" textlink="">
          <xdr:nvSpPr>
            <xdr:cNvPr id="540414" name="Rectangle 372"/>
            <xdr:cNvSpPr>
              <a:spLocks noChangeArrowheads="1"/>
            </xdr:cNvSpPr>
          </xdr:nvSpPr>
          <xdr:spPr bwMode="auto">
            <a:xfrm>
              <a:off x="1130" y="464"/>
              <a:ext cx="124" cy="40"/>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B" textlink="">
          <xdr:nvSpPr>
            <xdr:cNvPr id="540415" name="Rectangle 373"/>
            <xdr:cNvSpPr>
              <a:spLocks noChangeArrowheads="1"/>
            </xdr:cNvSpPr>
          </xdr:nvSpPr>
          <xdr:spPr bwMode="auto">
            <a:xfrm>
              <a:off x="1428" y="466"/>
              <a:ext cx="120" cy="37"/>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 textlink="">
          <xdr:nvSpPr>
            <xdr:cNvPr id="540416" name="Rectangle 374"/>
            <xdr:cNvSpPr>
              <a:spLocks noChangeArrowheads="1"/>
            </xdr:cNvSpPr>
          </xdr:nvSpPr>
          <xdr:spPr bwMode="auto">
            <a:xfrm>
              <a:off x="1573" y="470"/>
              <a:ext cx="105" cy="32"/>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sp macro="[0]!chart_LiabEuiqtyDistributionA" textlink="">
          <xdr:nvSpPr>
            <xdr:cNvPr id="540417" name="Rectangle 375"/>
            <xdr:cNvSpPr>
              <a:spLocks noChangeArrowheads="1"/>
            </xdr:cNvSpPr>
          </xdr:nvSpPr>
          <xdr:spPr bwMode="auto">
            <a:xfrm>
              <a:off x="1285" y="470"/>
              <a:ext cx="107" cy="36"/>
            </a:xfrm>
            <a:prstGeom prst="rect">
              <a:avLst/>
            </a:prstGeom>
            <a:grp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sp macro="[0]!chart_InterestNonOpExTaxes" textlink="">
        <xdr:nvSpPr>
          <xdr:cNvPr id="101" name="Rectangle 432"/>
          <xdr:cNvSpPr>
            <a:spLocks noChangeArrowheads="1"/>
          </xdr:cNvSpPr>
        </xdr:nvSpPr>
        <xdr:spPr bwMode="auto">
          <a:xfrm>
            <a:off x="2027718" y="3853157"/>
            <a:ext cx="683289" cy="229456"/>
          </a:xfrm>
          <a:prstGeom prst="rect">
            <a:avLst/>
          </a:prstGeom>
          <a:noFill/>
          <a:ln>
            <a:noFill/>
          </a:ln>
        </xdr:spPr>
        <xdr:style>
          <a:lnRef idx="2">
            <a:schemeClr val="dk1"/>
          </a:lnRef>
          <a:fillRef idx="1">
            <a:schemeClr val="lt1"/>
          </a:fillRef>
          <a:effectRef idx="0">
            <a:schemeClr val="dk1"/>
          </a:effectRef>
          <a:fontRef idx="minor">
            <a:schemeClr val="dk1"/>
          </a:fontRef>
        </xdr:style>
        <xdr:txBody>
          <a:bodyPr/>
          <a:lstStyle/>
          <a:p>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7620</xdr:colOff>
      <xdr:row>13</xdr:row>
      <xdr:rowOff>160020</xdr:rowOff>
    </xdr:to>
    <xdr:graphicFrame macro="">
      <xdr:nvGraphicFramePr>
        <xdr:cNvPr id="111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7620</xdr:rowOff>
    </xdr:from>
    <xdr:to>
      <xdr:col>7</xdr:col>
      <xdr:colOff>22860</xdr:colOff>
      <xdr:row>28</xdr:row>
      <xdr:rowOff>0</xdr:rowOff>
    </xdr:to>
    <xdr:graphicFrame macro="">
      <xdr:nvGraphicFramePr>
        <xdr:cNvPr id="11150"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xdr:row>
      <xdr:rowOff>0</xdr:rowOff>
    </xdr:from>
    <xdr:to>
      <xdr:col>7</xdr:col>
      <xdr:colOff>22860</xdr:colOff>
      <xdr:row>42</xdr:row>
      <xdr:rowOff>0</xdr:rowOff>
    </xdr:to>
    <xdr:graphicFrame macro="">
      <xdr:nvGraphicFramePr>
        <xdr:cNvPr id="11151"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42</xdr:row>
      <xdr:rowOff>0</xdr:rowOff>
    </xdr:from>
    <xdr:to>
      <xdr:col>7</xdr:col>
      <xdr:colOff>22860</xdr:colOff>
      <xdr:row>56</xdr:row>
      <xdr:rowOff>22860</xdr:rowOff>
    </xdr:to>
    <xdr:graphicFrame macro="">
      <xdr:nvGraphicFramePr>
        <xdr:cNvPr id="1115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56</xdr:row>
      <xdr:rowOff>22860</xdr:rowOff>
    </xdr:from>
    <xdr:to>
      <xdr:col>7</xdr:col>
      <xdr:colOff>22860</xdr:colOff>
      <xdr:row>69</xdr:row>
      <xdr:rowOff>160020</xdr:rowOff>
    </xdr:to>
    <xdr:graphicFrame macro="">
      <xdr:nvGraphicFramePr>
        <xdr:cNvPr id="1115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70</xdr:row>
      <xdr:rowOff>0</xdr:rowOff>
    </xdr:from>
    <xdr:to>
      <xdr:col>7</xdr:col>
      <xdr:colOff>22860</xdr:colOff>
      <xdr:row>84</xdr:row>
      <xdr:rowOff>0</xdr:rowOff>
    </xdr:to>
    <xdr:graphicFrame macro="">
      <xdr:nvGraphicFramePr>
        <xdr:cNvPr id="1115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84</xdr:row>
      <xdr:rowOff>0</xdr:rowOff>
    </xdr:from>
    <xdr:to>
      <xdr:col>7</xdr:col>
      <xdr:colOff>22860</xdr:colOff>
      <xdr:row>97</xdr:row>
      <xdr:rowOff>160020</xdr:rowOff>
    </xdr:to>
    <xdr:graphicFrame macro="">
      <xdr:nvGraphicFramePr>
        <xdr:cNvPr id="1115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7620</xdr:colOff>
      <xdr:row>0</xdr:row>
      <xdr:rowOff>0</xdr:rowOff>
    </xdr:from>
    <xdr:to>
      <xdr:col>14</xdr:col>
      <xdr:colOff>0</xdr:colOff>
      <xdr:row>14</xdr:row>
      <xdr:rowOff>7620</xdr:rowOff>
    </xdr:to>
    <xdr:graphicFrame macro="">
      <xdr:nvGraphicFramePr>
        <xdr:cNvPr id="11156"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22860</xdr:colOff>
      <xdr:row>14</xdr:row>
      <xdr:rowOff>7620</xdr:rowOff>
    </xdr:from>
    <xdr:to>
      <xdr:col>14</xdr:col>
      <xdr:colOff>0</xdr:colOff>
      <xdr:row>28</xdr:row>
      <xdr:rowOff>0</xdr:rowOff>
    </xdr:to>
    <xdr:graphicFrame macro="">
      <xdr:nvGraphicFramePr>
        <xdr:cNvPr id="1115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22860</xdr:colOff>
      <xdr:row>28</xdr:row>
      <xdr:rowOff>0</xdr:rowOff>
    </xdr:from>
    <xdr:to>
      <xdr:col>14</xdr:col>
      <xdr:colOff>7620</xdr:colOff>
      <xdr:row>42</xdr:row>
      <xdr:rowOff>0</xdr:rowOff>
    </xdr:to>
    <xdr:graphicFrame macro="">
      <xdr:nvGraphicFramePr>
        <xdr:cNvPr id="11158"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22860</xdr:colOff>
      <xdr:row>42</xdr:row>
      <xdr:rowOff>0</xdr:rowOff>
    </xdr:from>
    <xdr:to>
      <xdr:col>14</xdr:col>
      <xdr:colOff>0</xdr:colOff>
      <xdr:row>56</xdr:row>
      <xdr:rowOff>22860</xdr:rowOff>
    </xdr:to>
    <xdr:graphicFrame macro="">
      <xdr:nvGraphicFramePr>
        <xdr:cNvPr id="11159"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22860</xdr:colOff>
      <xdr:row>56</xdr:row>
      <xdr:rowOff>30480</xdr:rowOff>
    </xdr:from>
    <xdr:to>
      <xdr:col>14</xdr:col>
      <xdr:colOff>7620</xdr:colOff>
      <xdr:row>70</xdr:row>
      <xdr:rowOff>0</xdr:rowOff>
    </xdr:to>
    <xdr:graphicFrame macro="">
      <xdr:nvGraphicFramePr>
        <xdr:cNvPr id="11160"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xdr:col>
      <xdr:colOff>22860</xdr:colOff>
      <xdr:row>70</xdr:row>
      <xdr:rowOff>7620</xdr:rowOff>
    </xdr:from>
    <xdr:to>
      <xdr:col>14</xdr:col>
      <xdr:colOff>30480</xdr:colOff>
      <xdr:row>84</xdr:row>
      <xdr:rowOff>0</xdr:rowOff>
    </xdr:to>
    <xdr:graphicFrame macro="">
      <xdr:nvGraphicFramePr>
        <xdr:cNvPr id="11161"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22860</xdr:colOff>
      <xdr:row>84</xdr:row>
      <xdr:rowOff>0</xdr:rowOff>
    </xdr:from>
    <xdr:to>
      <xdr:col>14</xdr:col>
      <xdr:colOff>22860</xdr:colOff>
      <xdr:row>98</xdr:row>
      <xdr:rowOff>0</xdr:rowOff>
    </xdr:to>
    <xdr:graphicFrame macro="">
      <xdr:nvGraphicFramePr>
        <xdr:cNvPr id="11162"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xdr:col>
      <xdr:colOff>0</xdr:colOff>
      <xdr:row>0</xdr:row>
      <xdr:rowOff>0</xdr:rowOff>
    </xdr:from>
    <xdr:to>
      <xdr:col>21</xdr:col>
      <xdr:colOff>0</xdr:colOff>
      <xdr:row>14</xdr:row>
      <xdr:rowOff>7620</xdr:rowOff>
    </xdr:to>
    <xdr:graphicFrame macro="">
      <xdr:nvGraphicFramePr>
        <xdr:cNvPr id="11163"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601980</xdr:colOff>
      <xdr:row>14</xdr:row>
      <xdr:rowOff>22860</xdr:rowOff>
    </xdr:from>
    <xdr:to>
      <xdr:col>21</xdr:col>
      <xdr:colOff>0</xdr:colOff>
      <xdr:row>28</xdr:row>
      <xdr:rowOff>7620</xdr:rowOff>
    </xdr:to>
    <xdr:graphicFrame macro="">
      <xdr:nvGraphicFramePr>
        <xdr:cNvPr id="11164"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7620</xdr:colOff>
      <xdr:row>28</xdr:row>
      <xdr:rowOff>0</xdr:rowOff>
    </xdr:from>
    <xdr:to>
      <xdr:col>20</xdr:col>
      <xdr:colOff>601980</xdr:colOff>
      <xdr:row>42</xdr:row>
      <xdr:rowOff>7620</xdr:rowOff>
    </xdr:to>
    <xdr:graphicFrame macro="">
      <xdr:nvGraphicFramePr>
        <xdr:cNvPr id="11165"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14</xdr:col>
      <xdr:colOff>7620</xdr:colOff>
      <xdr:row>42</xdr:row>
      <xdr:rowOff>7620</xdr:rowOff>
    </xdr:from>
    <xdr:to>
      <xdr:col>21</xdr:col>
      <xdr:colOff>22860</xdr:colOff>
      <xdr:row>56</xdr:row>
      <xdr:rowOff>22860</xdr:rowOff>
    </xdr:to>
    <xdr:graphicFrame macro="">
      <xdr:nvGraphicFramePr>
        <xdr:cNvPr id="11166"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22860</xdr:colOff>
      <xdr:row>56</xdr:row>
      <xdr:rowOff>38100</xdr:rowOff>
    </xdr:from>
    <xdr:to>
      <xdr:col>21</xdr:col>
      <xdr:colOff>7620</xdr:colOff>
      <xdr:row>70</xdr:row>
      <xdr:rowOff>0</xdr:rowOff>
    </xdr:to>
    <xdr:graphicFrame macro="">
      <xdr:nvGraphicFramePr>
        <xdr:cNvPr id="11167"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14</xdr:col>
      <xdr:colOff>38100</xdr:colOff>
      <xdr:row>70</xdr:row>
      <xdr:rowOff>22860</xdr:rowOff>
    </xdr:from>
    <xdr:to>
      <xdr:col>20</xdr:col>
      <xdr:colOff>601980</xdr:colOff>
      <xdr:row>84</xdr:row>
      <xdr:rowOff>0</xdr:rowOff>
    </xdr:to>
    <xdr:graphicFrame macro="">
      <xdr:nvGraphicFramePr>
        <xdr:cNvPr id="11168"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22860</xdr:colOff>
      <xdr:row>84</xdr:row>
      <xdr:rowOff>0</xdr:rowOff>
    </xdr:from>
    <xdr:to>
      <xdr:col>20</xdr:col>
      <xdr:colOff>601980</xdr:colOff>
      <xdr:row>98</xdr:row>
      <xdr:rowOff>0</xdr:rowOff>
    </xdr:to>
    <xdr:graphicFrame macro="">
      <xdr:nvGraphicFramePr>
        <xdr:cNvPr id="11169"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21</xdr:col>
      <xdr:colOff>7620</xdr:colOff>
      <xdr:row>0</xdr:row>
      <xdr:rowOff>0</xdr:rowOff>
    </xdr:from>
    <xdr:to>
      <xdr:col>27</xdr:col>
      <xdr:colOff>601980</xdr:colOff>
      <xdr:row>14</xdr:row>
      <xdr:rowOff>22860</xdr:rowOff>
    </xdr:to>
    <xdr:graphicFrame macro="">
      <xdr:nvGraphicFramePr>
        <xdr:cNvPr id="11170"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21</xdr:col>
      <xdr:colOff>7620</xdr:colOff>
      <xdr:row>14</xdr:row>
      <xdr:rowOff>22860</xdr:rowOff>
    </xdr:from>
    <xdr:to>
      <xdr:col>27</xdr:col>
      <xdr:colOff>594360</xdr:colOff>
      <xdr:row>28</xdr:row>
      <xdr:rowOff>22860</xdr:rowOff>
    </xdr:to>
    <xdr:graphicFrame macro="">
      <xdr:nvGraphicFramePr>
        <xdr:cNvPr id="11171"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7620</xdr:colOff>
      <xdr:row>28</xdr:row>
      <xdr:rowOff>22860</xdr:rowOff>
    </xdr:from>
    <xdr:to>
      <xdr:col>28</xdr:col>
      <xdr:colOff>7620</xdr:colOff>
      <xdr:row>42</xdr:row>
      <xdr:rowOff>22860</xdr:rowOff>
    </xdr:to>
    <xdr:graphicFrame macro="">
      <xdr:nvGraphicFramePr>
        <xdr:cNvPr id="11172"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0</xdr:col>
      <xdr:colOff>0</xdr:colOff>
      <xdr:row>97</xdr:row>
      <xdr:rowOff>160020</xdr:rowOff>
    </xdr:from>
    <xdr:to>
      <xdr:col>6</xdr:col>
      <xdr:colOff>601980</xdr:colOff>
      <xdr:row>112</xdr:row>
      <xdr:rowOff>0</xdr:rowOff>
    </xdr:to>
    <xdr:graphicFrame macro="">
      <xdr:nvGraphicFramePr>
        <xdr:cNvPr id="11173"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21</xdr:col>
      <xdr:colOff>22860</xdr:colOff>
      <xdr:row>42</xdr:row>
      <xdr:rowOff>38100</xdr:rowOff>
    </xdr:from>
    <xdr:to>
      <xdr:col>28</xdr:col>
      <xdr:colOff>30480</xdr:colOff>
      <xdr:row>56</xdr:row>
      <xdr:rowOff>30480</xdr:rowOff>
    </xdr:to>
    <xdr:graphicFrame macro="">
      <xdr:nvGraphicFramePr>
        <xdr:cNvPr id="11174" name="Chart EquityMultiplie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21</xdr:col>
      <xdr:colOff>22860</xdr:colOff>
      <xdr:row>56</xdr:row>
      <xdr:rowOff>38100</xdr:rowOff>
    </xdr:from>
    <xdr:to>
      <xdr:col>28</xdr:col>
      <xdr:colOff>7620</xdr:colOff>
      <xdr:row>70</xdr:row>
      <xdr:rowOff>60960</xdr:rowOff>
    </xdr:to>
    <xdr:graphicFrame macro="">
      <xdr:nvGraphicFramePr>
        <xdr:cNvPr id="11175" name="Chart InterestNonOpExTaxe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L101"/>
  <sheetViews>
    <sheetView topLeftCell="A13" workbookViewId="0">
      <selection activeCell="A20" sqref="A20"/>
    </sheetView>
  </sheetViews>
  <sheetFormatPr baseColWidth="10" defaultColWidth="8.83203125" defaultRowHeight="13" x14ac:dyDescent="0.15"/>
  <cols>
    <col min="1" max="1" width="34.1640625" customWidth="1"/>
    <col min="2" max="2" width="13.1640625" customWidth="1"/>
    <col min="3" max="3" width="12.33203125" customWidth="1"/>
    <col min="4" max="4" width="11.5" customWidth="1"/>
    <col min="5" max="5" width="11.83203125" customWidth="1"/>
    <col min="6" max="6" width="12.5" customWidth="1"/>
    <col min="7" max="7" width="34.83203125" style="8" bestFit="1" customWidth="1"/>
    <col min="8" max="8" width="10.5" customWidth="1"/>
    <col min="9" max="9" width="10.6640625" customWidth="1"/>
    <col min="10" max="10" width="10.5" customWidth="1"/>
    <col min="11" max="11" width="13.5" customWidth="1"/>
    <col min="12" max="12" width="11.83203125" customWidth="1"/>
  </cols>
  <sheetData>
    <row r="1" spans="1:12" ht="15" customHeight="1" x14ac:dyDescent="0.15">
      <c r="G1"/>
    </row>
    <row r="2" spans="1:12" ht="15" customHeight="1" x14ac:dyDescent="0.15">
      <c r="G2"/>
    </row>
    <row r="3" spans="1:12" ht="15" customHeight="1" x14ac:dyDescent="0.15">
      <c r="G3"/>
    </row>
    <row r="4" spans="1:12" ht="15" customHeight="1" x14ac:dyDescent="0.15">
      <c r="G4"/>
    </row>
    <row r="5" spans="1:12" ht="15" customHeight="1" x14ac:dyDescent="0.15">
      <c r="G5"/>
    </row>
    <row r="6" spans="1:12" ht="15" customHeight="1" x14ac:dyDescent="0.15">
      <c r="G6"/>
    </row>
    <row r="7" spans="1:12" ht="15" customHeight="1" x14ac:dyDescent="0.15">
      <c r="G7"/>
    </row>
    <row r="8" spans="1:12" ht="15" customHeight="1" x14ac:dyDescent="0.15">
      <c r="A8" s="1"/>
      <c r="B8" s="1"/>
      <c r="C8" s="1"/>
      <c r="D8" s="1"/>
      <c r="E8" s="1"/>
      <c r="F8" s="1"/>
      <c r="G8" s="1"/>
      <c r="H8" s="1"/>
      <c r="I8" s="1"/>
      <c r="J8" s="1"/>
    </row>
    <row r="9" spans="1:12" ht="15" customHeight="1" x14ac:dyDescent="0.15">
      <c r="A9" s="1"/>
      <c r="G9"/>
    </row>
    <row r="10" spans="1:12" ht="15" customHeight="1" x14ac:dyDescent="0.15">
      <c r="A10" s="301"/>
      <c r="B10" s="300"/>
      <c r="C10" s="300"/>
      <c r="D10" s="300"/>
      <c r="E10" s="300"/>
      <c r="F10" s="300"/>
      <c r="G10" s="300"/>
      <c r="H10" s="300"/>
      <c r="I10" s="300"/>
      <c r="J10" s="300"/>
    </row>
    <row r="11" spans="1:12" ht="15" customHeight="1" x14ac:dyDescent="0.15">
      <c r="A11" s="2"/>
      <c r="B11" s="300"/>
      <c r="C11" s="300"/>
      <c r="D11" s="300"/>
      <c r="E11" s="300"/>
      <c r="F11" s="300"/>
      <c r="G11" s="300"/>
      <c r="H11" s="300"/>
      <c r="I11" s="300"/>
      <c r="J11" s="300"/>
    </row>
    <row r="12" spans="1:12" ht="15" customHeight="1" thickBot="1" x14ac:dyDescent="0.2">
      <c r="G12"/>
    </row>
    <row r="13" spans="1:12" s="3" customFormat="1" x14ac:dyDescent="0.15">
      <c r="A13" s="5" t="s">
        <v>103</v>
      </c>
      <c r="B13" s="336" t="s">
        <v>121</v>
      </c>
      <c r="C13" s="336" t="s">
        <v>122</v>
      </c>
      <c r="D13" s="336" t="s">
        <v>123</v>
      </c>
      <c r="E13" s="336" t="s">
        <v>124</v>
      </c>
      <c r="F13" s="336" t="s">
        <v>125</v>
      </c>
      <c r="G13" s="5" t="s">
        <v>103</v>
      </c>
      <c r="H13" s="336" t="s">
        <v>121</v>
      </c>
      <c r="I13" s="336" t="s">
        <v>122</v>
      </c>
      <c r="J13" s="336" t="s">
        <v>123</v>
      </c>
      <c r="K13" s="336" t="s">
        <v>124</v>
      </c>
      <c r="L13" s="336" t="s">
        <v>125</v>
      </c>
    </row>
    <row r="14" spans="1:12" s="3" customFormat="1" ht="15" x14ac:dyDescent="0.2">
      <c r="A14" s="6" t="s">
        <v>2</v>
      </c>
      <c r="B14">
        <v>1000</v>
      </c>
      <c r="C14">
        <v>1000</v>
      </c>
      <c r="D14">
        <v>1000</v>
      </c>
      <c r="E14">
        <v>1000</v>
      </c>
      <c r="F14">
        <v>1000</v>
      </c>
      <c r="G14" s="6" t="s">
        <v>2</v>
      </c>
      <c r="H14" s="337">
        <v>1000000</v>
      </c>
      <c r="I14" s="337">
        <v>1000000</v>
      </c>
      <c r="J14" s="337">
        <v>1000000</v>
      </c>
      <c r="K14" s="337">
        <v>1000000</v>
      </c>
      <c r="L14" s="337">
        <v>1000000</v>
      </c>
    </row>
    <row r="15" spans="1:12" s="3" customFormat="1" x14ac:dyDescent="0.15">
      <c r="A15" s="6" t="s">
        <v>89</v>
      </c>
      <c r="B15" s="366">
        <v>30079</v>
      </c>
      <c r="C15" s="366">
        <v>51082</v>
      </c>
      <c r="D15" s="366">
        <v>48591</v>
      </c>
      <c r="E15" s="366">
        <v>153224</v>
      </c>
      <c r="F15" s="366">
        <v>39472</v>
      </c>
      <c r="G15" s="6" t="s">
        <v>89</v>
      </c>
      <c r="H15" s="367">
        <v>1616.2</v>
      </c>
      <c r="I15" s="368">
        <v>511.6</v>
      </c>
      <c r="J15" s="368">
        <v>465.5</v>
      </c>
      <c r="K15" s="368">
        <v>428.3</v>
      </c>
      <c r="L15" s="368">
        <v>606.9</v>
      </c>
    </row>
    <row r="16" spans="1:12" s="3" customFormat="1" x14ac:dyDescent="0.15">
      <c r="A16" s="6" t="s">
        <v>0</v>
      </c>
      <c r="B16" s="358">
        <v>14.92</v>
      </c>
      <c r="C16" s="358">
        <v>23.52</v>
      </c>
      <c r="D16" s="358">
        <v>39.521000000000001</v>
      </c>
      <c r="E16" s="358">
        <v>40.97</v>
      </c>
      <c r="F16" s="359">
        <v>33</v>
      </c>
      <c r="G16" s="6" t="s">
        <v>0</v>
      </c>
      <c r="H16" s="358">
        <v>82.08</v>
      </c>
      <c r="I16" s="358">
        <v>73.2</v>
      </c>
      <c r="J16" s="358">
        <v>67.819999999999993</v>
      </c>
      <c r="K16" s="358">
        <v>58.84</v>
      </c>
      <c r="L16" s="359">
        <v>103.48</v>
      </c>
    </row>
    <row r="17" spans="1:12" s="4" customFormat="1" ht="14" thickBot="1" x14ac:dyDescent="0.2">
      <c r="A17" s="7" t="s">
        <v>1</v>
      </c>
      <c r="B17" s="335">
        <v>29804</v>
      </c>
      <c r="C17" s="335">
        <v>29720</v>
      </c>
      <c r="D17" s="335">
        <v>29672</v>
      </c>
      <c r="E17" s="335">
        <v>29115</v>
      </c>
      <c r="F17" s="335">
        <v>27843</v>
      </c>
      <c r="G17" s="7" t="s">
        <v>1</v>
      </c>
      <c r="H17" s="338">
        <v>379.3</v>
      </c>
      <c r="I17" s="338">
        <v>386.2</v>
      </c>
      <c r="J17" s="338">
        <v>387.6</v>
      </c>
      <c r="K17" s="338">
        <v>388.7</v>
      </c>
      <c r="L17" s="338">
        <v>394</v>
      </c>
    </row>
    <row r="20" spans="1:12" s="362" customFormat="1" x14ac:dyDescent="0.15">
      <c r="A20" s="351" t="s">
        <v>240</v>
      </c>
      <c r="G20" s="363" t="s">
        <v>241</v>
      </c>
    </row>
    <row r="21" spans="1:12" ht="15" x14ac:dyDescent="0.2">
      <c r="A21" s="339" t="s">
        <v>126</v>
      </c>
      <c r="B21" s="375" t="s">
        <v>127</v>
      </c>
      <c r="C21" s="375"/>
      <c r="D21" s="375"/>
      <c r="E21" s="375"/>
      <c r="F21" s="375"/>
      <c r="G21" s="372" t="s">
        <v>189</v>
      </c>
      <c r="H21" s="374" t="s">
        <v>127</v>
      </c>
      <c r="I21" s="374"/>
      <c r="J21" s="374"/>
      <c r="K21" s="374"/>
      <c r="L21" s="374"/>
    </row>
    <row r="22" spans="1:12" ht="30" x14ac:dyDescent="0.2">
      <c r="A22" s="339"/>
      <c r="B22" s="340" t="s">
        <v>121</v>
      </c>
      <c r="C22" s="340" t="s">
        <v>122</v>
      </c>
      <c r="D22" s="340" t="s">
        <v>123</v>
      </c>
      <c r="E22" s="340" t="s">
        <v>124</v>
      </c>
      <c r="F22" s="340" t="s">
        <v>125</v>
      </c>
      <c r="G22" s="373"/>
      <c r="H22" s="357" t="s">
        <v>121</v>
      </c>
      <c r="I22" s="357" t="s">
        <v>122</v>
      </c>
      <c r="J22" s="357" t="s">
        <v>123</v>
      </c>
      <c r="K22" s="347" t="s">
        <v>124</v>
      </c>
      <c r="L22" s="340" t="s">
        <v>125</v>
      </c>
    </row>
    <row r="23" spans="1:12" ht="15" x14ac:dyDescent="0.2">
      <c r="A23" s="340" t="s">
        <v>128</v>
      </c>
      <c r="G23" s="343" t="s">
        <v>190</v>
      </c>
      <c r="H23" s="356"/>
      <c r="I23" s="356"/>
      <c r="J23" s="356"/>
      <c r="K23" s="356"/>
      <c r="L23" s="356"/>
    </row>
    <row r="24" spans="1:12" ht="12.75" customHeight="1" x14ac:dyDescent="0.15">
      <c r="A24" t="s">
        <v>129</v>
      </c>
      <c r="B24">
        <v>971098</v>
      </c>
      <c r="C24">
        <v>1164304</v>
      </c>
      <c r="D24">
        <v>1344523</v>
      </c>
      <c r="E24">
        <v>1238273</v>
      </c>
      <c r="F24">
        <v>1175500</v>
      </c>
      <c r="G24" s="344" t="s">
        <v>191</v>
      </c>
      <c r="H24" s="348">
        <v>10780.4</v>
      </c>
      <c r="I24" s="348">
        <v>10968.8</v>
      </c>
      <c r="J24" s="348">
        <v>10181.700000000001</v>
      </c>
      <c r="K24" s="356">
        <v>9713.6</v>
      </c>
      <c r="L24" s="356">
        <v>8810</v>
      </c>
    </row>
    <row r="25" spans="1:12" ht="15" x14ac:dyDescent="0.2">
      <c r="A25" s="340" t="s">
        <v>130</v>
      </c>
      <c r="G25" s="344" t="s">
        <v>192</v>
      </c>
      <c r="H25" s="349">
        <v>2100.6</v>
      </c>
      <c r="I25" s="349">
        <v>2158.1999999999998</v>
      </c>
      <c r="J25" s="349">
        <v>2025.9</v>
      </c>
      <c r="K25" s="356">
        <v>1995.8</v>
      </c>
      <c r="L25" s="356">
        <v>1936.9</v>
      </c>
    </row>
    <row r="26" spans="1:12" ht="12.75" customHeight="1" x14ac:dyDescent="0.15">
      <c r="A26" t="s">
        <v>131</v>
      </c>
      <c r="B26">
        <v>614736</v>
      </c>
      <c r="C26">
        <v>686906</v>
      </c>
      <c r="D26">
        <v>709344</v>
      </c>
      <c r="E26">
        <v>623985</v>
      </c>
      <c r="F26">
        <v>614134</v>
      </c>
      <c r="G26" s="344" t="s">
        <v>193</v>
      </c>
      <c r="H26" s="349">
        <v>8679.7999999999993</v>
      </c>
      <c r="I26" s="349">
        <v>8810.6</v>
      </c>
      <c r="J26" s="349">
        <v>8155.8</v>
      </c>
      <c r="K26" s="356">
        <v>7717.8</v>
      </c>
      <c r="L26" s="356">
        <v>6873.1</v>
      </c>
    </row>
    <row r="27" spans="1:12" ht="12.75" customHeight="1" x14ac:dyDescent="0.15">
      <c r="A27" t="s">
        <v>132</v>
      </c>
      <c r="B27">
        <v>7710</v>
      </c>
      <c r="C27">
        <v>7742</v>
      </c>
      <c r="D27">
        <v>6386</v>
      </c>
      <c r="E27">
        <v>5257</v>
      </c>
      <c r="F27">
        <v>5089</v>
      </c>
      <c r="G27" s="343" t="s">
        <v>194</v>
      </c>
      <c r="H27" s="356"/>
      <c r="I27" s="356"/>
      <c r="J27" s="356"/>
      <c r="K27" s="356"/>
      <c r="L27" s="356"/>
    </row>
    <row r="28" spans="1:12" ht="12.75" customHeight="1" x14ac:dyDescent="0.15">
      <c r="A28" t="s">
        <v>133</v>
      </c>
      <c r="B28">
        <v>622446</v>
      </c>
      <c r="C28">
        <v>694648</v>
      </c>
      <c r="D28">
        <v>715730</v>
      </c>
      <c r="E28">
        <v>629242</v>
      </c>
      <c r="F28">
        <v>619223</v>
      </c>
      <c r="G28" s="344" t="s">
        <v>136</v>
      </c>
      <c r="H28" s="349">
        <v>7073.5</v>
      </c>
      <c r="I28" s="349">
        <v>6985.9</v>
      </c>
      <c r="J28" s="346">
        <v>6597</v>
      </c>
      <c r="K28" s="356">
        <v>6324.8</v>
      </c>
      <c r="L28" s="356">
        <v>5696.7</v>
      </c>
    </row>
    <row r="29" spans="1:12" ht="12.75" customHeight="1" x14ac:dyDescent="0.15">
      <c r="A29" t="s">
        <v>134</v>
      </c>
      <c r="B29">
        <v>348652</v>
      </c>
      <c r="C29">
        <v>469656</v>
      </c>
      <c r="D29">
        <v>628793</v>
      </c>
      <c r="E29">
        <v>609031</v>
      </c>
      <c r="F29">
        <v>556277</v>
      </c>
      <c r="G29" s="344" t="s">
        <v>195</v>
      </c>
      <c r="H29" s="356"/>
      <c r="I29" s="349">
        <v>-2.9</v>
      </c>
      <c r="J29" s="349">
        <v>15.1</v>
      </c>
      <c r="K29" s="356">
        <v>59.6</v>
      </c>
      <c r="L29" s="356">
        <v>49</v>
      </c>
    </row>
    <row r="30" spans="1:12" ht="15" x14ac:dyDescent="0.2">
      <c r="A30" s="340" t="s">
        <v>135</v>
      </c>
      <c r="G30" s="344" t="s">
        <v>196</v>
      </c>
      <c r="H30" s="356"/>
      <c r="I30" s="356"/>
      <c r="J30" s="349">
        <v>9.6</v>
      </c>
      <c r="K30" s="356"/>
      <c r="L30" s="356">
        <v>29.3</v>
      </c>
    </row>
    <row r="31" spans="1:12" ht="12.75" customHeight="1" x14ac:dyDescent="0.15">
      <c r="A31" t="s">
        <v>136</v>
      </c>
      <c r="B31">
        <v>497004</v>
      </c>
      <c r="C31">
        <v>489803</v>
      </c>
      <c r="D31">
        <v>517250</v>
      </c>
      <c r="E31">
        <v>484963</v>
      </c>
      <c r="F31">
        <v>453956</v>
      </c>
      <c r="G31" s="344" t="s">
        <v>197</v>
      </c>
      <c r="H31" s="356"/>
      <c r="I31" s="356"/>
      <c r="J31" s="349">
        <v>8.1</v>
      </c>
      <c r="K31" s="356">
        <v>21.7</v>
      </c>
      <c r="L31" s="356">
        <v>8.6999999999999993</v>
      </c>
    </row>
    <row r="32" spans="1:12" ht="12.75" customHeight="1" x14ac:dyDescent="0.15">
      <c r="A32" t="s">
        <v>137</v>
      </c>
      <c r="B32">
        <v>40773</v>
      </c>
      <c r="C32">
        <v>44392</v>
      </c>
      <c r="D32">
        <v>39583</v>
      </c>
      <c r="E32">
        <v>28797</v>
      </c>
      <c r="F32">
        <v>24746</v>
      </c>
      <c r="G32" s="344" t="s">
        <v>138</v>
      </c>
      <c r="H32" s="349">
        <v>7073.5</v>
      </c>
      <c r="I32" s="346">
        <v>6983</v>
      </c>
      <c r="J32" s="349">
        <v>6629.8</v>
      </c>
      <c r="K32" s="356">
        <v>6406.1</v>
      </c>
      <c r="L32" s="356">
        <v>5783.7</v>
      </c>
    </row>
    <row r="33" spans="1:12" ht="12.75" customHeight="1" x14ac:dyDescent="0.15">
      <c r="A33" t="s">
        <v>138</v>
      </c>
      <c r="B33">
        <v>537777</v>
      </c>
      <c r="C33">
        <v>534195</v>
      </c>
      <c r="D33">
        <v>556833</v>
      </c>
      <c r="E33">
        <v>513760</v>
      </c>
      <c r="F33">
        <v>478702</v>
      </c>
      <c r="G33" s="344" t="s">
        <v>198</v>
      </c>
      <c r="H33" s="349">
        <v>1606.3</v>
      </c>
      <c r="I33" s="349">
        <v>1827.6</v>
      </c>
      <c r="J33" s="346">
        <v>1526</v>
      </c>
      <c r="K33" s="356">
        <v>1311.7</v>
      </c>
      <c r="L33" s="356">
        <v>1089.4000000000001</v>
      </c>
    </row>
    <row r="34" spans="1:12" ht="12.75" customHeight="1" x14ac:dyDescent="0.15">
      <c r="A34" t="s">
        <v>139</v>
      </c>
      <c r="B34">
        <v>-189125</v>
      </c>
      <c r="C34">
        <v>-64539</v>
      </c>
      <c r="D34">
        <v>71960</v>
      </c>
      <c r="E34">
        <v>95271</v>
      </c>
      <c r="F34">
        <v>77575</v>
      </c>
      <c r="G34" s="344" t="s">
        <v>199</v>
      </c>
      <c r="H34" s="346">
        <v>60</v>
      </c>
      <c r="I34" s="349">
        <v>59.4</v>
      </c>
      <c r="J34" s="349">
        <v>63.1</v>
      </c>
      <c r="K34" s="356">
        <v>61.1</v>
      </c>
      <c r="L34" s="356">
        <v>63.9</v>
      </c>
    </row>
    <row r="35" spans="1:12" ht="15" x14ac:dyDescent="0.2">
      <c r="A35" s="340" t="s">
        <v>140</v>
      </c>
      <c r="G35" s="344" t="s">
        <v>200</v>
      </c>
      <c r="H35" s="356"/>
      <c r="I35" s="356"/>
      <c r="J35" s="349">
        <v>19.100000000000001</v>
      </c>
      <c r="K35" s="356"/>
      <c r="L35" s="356"/>
    </row>
    <row r="36" spans="1:12" ht="12.75" customHeight="1" x14ac:dyDescent="0.15">
      <c r="A36" t="s">
        <v>141</v>
      </c>
      <c r="B36">
        <v>29626</v>
      </c>
      <c r="C36">
        <v>25825</v>
      </c>
      <c r="D36">
        <v>24309</v>
      </c>
      <c r="E36">
        <v>21759</v>
      </c>
      <c r="F36">
        <v>21481</v>
      </c>
      <c r="G36" s="344" t="s">
        <v>201</v>
      </c>
      <c r="H36" s="349">
        <v>14.3</v>
      </c>
      <c r="I36" s="349">
        <v>8.6</v>
      </c>
      <c r="J36" s="349">
        <v>8.3000000000000007</v>
      </c>
      <c r="K36" s="356"/>
      <c r="L36" s="356"/>
    </row>
    <row r="37" spans="1:12" ht="12.75" customHeight="1" x14ac:dyDescent="0.15">
      <c r="A37" t="s">
        <v>142</v>
      </c>
      <c r="B37">
        <v>239</v>
      </c>
      <c r="F37">
        <v>6468</v>
      </c>
      <c r="G37" s="344" t="s">
        <v>202</v>
      </c>
      <c r="H37" s="356"/>
      <c r="I37" s="356"/>
      <c r="J37" s="349">
        <v>23.1</v>
      </c>
      <c r="K37" s="356">
        <v>10.5</v>
      </c>
      <c r="L37" s="356"/>
    </row>
    <row r="38" spans="1:12" ht="12.75" customHeight="1" x14ac:dyDescent="0.15">
      <c r="A38" t="s">
        <v>143</v>
      </c>
      <c r="B38">
        <v>29865</v>
      </c>
      <c r="C38">
        <v>25825</v>
      </c>
      <c r="D38">
        <v>24309</v>
      </c>
      <c r="E38">
        <v>21759</v>
      </c>
      <c r="F38">
        <v>27949</v>
      </c>
      <c r="G38" s="344" t="s">
        <v>203</v>
      </c>
      <c r="H38" s="349">
        <v>1560.6</v>
      </c>
      <c r="I38" s="349">
        <v>1776.8</v>
      </c>
      <c r="J38" s="349">
        <v>1475.2</v>
      </c>
      <c r="K38" s="356">
        <v>1261.0999999999999</v>
      </c>
      <c r="L38" s="356">
        <v>1025.5</v>
      </c>
    </row>
    <row r="39" spans="1:12" ht="12.75" customHeight="1" x14ac:dyDescent="0.15">
      <c r="A39" t="s">
        <v>144</v>
      </c>
      <c r="B39">
        <v>-218990</v>
      </c>
      <c r="C39">
        <v>-90364</v>
      </c>
      <c r="D39">
        <v>47651</v>
      </c>
      <c r="E39">
        <v>73512</v>
      </c>
      <c r="F39">
        <v>49626</v>
      </c>
      <c r="G39" s="344" t="s">
        <v>145</v>
      </c>
      <c r="H39" s="349">
        <v>467.2</v>
      </c>
      <c r="I39" s="349">
        <v>567.70000000000005</v>
      </c>
      <c r="J39" s="349">
        <v>451.4</v>
      </c>
      <c r="K39" s="356">
        <v>400.6</v>
      </c>
      <c r="L39" s="356">
        <v>321.7</v>
      </c>
    </row>
    <row r="40" spans="1:12" ht="12.75" customHeight="1" x14ac:dyDescent="0.15">
      <c r="A40" t="s">
        <v>145</v>
      </c>
      <c r="B40">
        <v>6297</v>
      </c>
      <c r="C40">
        <v>56832</v>
      </c>
      <c r="D40">
        <v>6940</v>
      </c>
      <c r="E40">
        <v>16093</v>
      </c>
      <c r="F40">
        <v>8637</v>
      </c>
      <c r="G40" s="344" t="s">
        <v>204</v>
      </c>
      <c r="H40" s="349">
        <v>1093.4000000000001</v>
      </c>
      <c r="I40" s="349">
        <v>1209.0999999999999</v>
      </c>
      <c r="J40" s="349">
        <v>1023.8</v>
      </c>
      <c r="K40" s="356">
        <v>860.5</v>
      </c>
      <c r="L40" s="356">
        <v>703.8</v>
      </c>
    </row>
    <row r="41" spans="1:12" ht="12.75" customHeight="1" x14ac:dyDescent="0.15">
      <c r="A41" t="s">
        <v>146</v>
      </c>
      <c r="B41">
        <v>-225287</v>
      </c>
      <c r="C41">
        <v>-147196</v>
      </c>
      <c r="D41">
        <v>40711</v>
      </c>
      <c r="E41">
        <v>57419</v>
      </c>
      <c r="F41">
        <v>40989</v>
      </c>
      <c r="G41" s="344" t="s">
        <v>205</v>
      </c>
      <c r="H41" s="349">
        <v>-4.5</v>
      </c>
      <c r="I41" s="346">
        <v>-5</v>
      </c>
      <c r="J41" s="346">
        <v>-4</v>
      </c>
      <c r="K41" s="356">
        <v>-3.6</v>
      </c>
      <c r="L41" s="356">
        <v>-3</v>
      </c>
    </row>
    <row r="42" spans="1:12" ht="12.75" customHeight="1" x14ac:dyDescent="0.15">
      <c r="A42" t="s">
        <v>147</v>
      </c>
      <c r="B42">
        <v>-1294</v>
      </c>
      <c r="C42">
        <v>-1468</v>
      </c>
      <c r="G42" s="344" t="s">
        <v>206</v>
      </c>
      <c r="H42" s="348">
        <v>1088.9000000000001</v>
      </c>
      <c r="I42" s="348">
        <v>1204.0999999999999</v>
      </c>
      <c r="J42" s="348">
        <v>1019.8</v>
      </c>
      <c r="K42" s="356">
        <v>856.9</v>
      </c>
      <c r="L42" s="356">
        <v>700.8</v>
      </c>
    </row>
    <row r="43" spans="1:12" ht="12.75" customHeight="1" x14ac:dyDescent="0.15">
      <c r="A43" t="s">
        <v>148</v>
      </c>
      <c r="B43">
        <v>-223993</v>
      </c>
      <c r="C43">
        <v>-145728</v>
      </c>
      <c r="D43">
        <v>40711</v>
      </c>
      <c r="G43" s="343" t="s">
        <v>207</v>
      </c>
      <c r="H43" s="356"/>
      <c r="I43" s="356"/>
      <c r="J43" s="356"/>
      <c r="K43" s="356"/>
      <c r="L43" s="356"/>
    </row>
    <row r="44" spans="1:12" ht="12.75" customHeight="1" x14ac:dyDescent="0.15">
      <c r="A44" t="s">
        <v>149</v>
      </c>
      <c r="B44">
        <v>22333</v>
      </c>
      <c r="G44" s="344" t="s">
        <v>208</v>
      </c>
      <c r="H44" s="350">
        <v>2.87</v>
      </c>
      <c r="I44" s="350">
        <v>3.12</v>
      </c>
      <c r="J44" s="350">
        <v>2.63</v>
      </c>
      <c r="K44" s="356">
        <v>2.2000000000000002</v>
      </c>
      <c r="L44" s="356">
        <v>1.78</v>
      </c>
    </row>
    <row r="45" spans="1:12" ht="12.75" customHeight="1" x14ac:dyDescent="0.15">
      <c r="A45" t="s">
        <v>150</v>
      </c>
      <c r="B45">
        <v>-246326</v>
      </c>
      <c r="C45">
        <v>-145728</v>
      </c>
      <c r="D45">
        <v>40711</v>
      </c>
      <c r="G45" s="344" t="s">
        <v>209</v>
      </c>
      <c r="H45" s="350">
        <v>2.82</v>
      </c>
      <c r="I45" s="350">
        <v>3.06</v>
      </c>
      <c r="J45" s="350">
        <v>2.58</v>
      </c>
      <c r="K45" s="356">
        <v>2.16</v>
      </c>
      <c r="L45" s="356">
        <v>1.74</v>
      </c>
    </row>
    <row r="46" spans="1:12" ht="30" x14ac:dyDescent="0.2">
      <c r="A46" s="340" t="s">
        <v>151</v>
      </c>
      <c r="G46" s="343" t="s">
        <v>210</v>
      </c>
      <c r="H46" s="356"/>
      <c r="I46" s="356"/>
      <c r="J46" s="356"/>
      <c r="K46" s="356"/>
      <c r="L46" s="356"/>
    </row>
    <row r="47" spans="1:12" ht="12.75" customHeight="1" x14ac:dyDescent="0.15">
      <c r="A47" t="s">
        <v>152</v>
      </c>
      <c r="B47">
        <v>-8.26</v>
      </c>
      <c r="C47">
        <v>-4.9000000000000004</v>
      </c>
      <c r="D47">
        <v>1.37</v>
      </c>
      <c r="E47">
        <v>1.97</v>
      </c>
      <c r="F47">
        <v>1.47</v>
      </c>
      <c r="G47" s="344" t="s">
        <v>211</v>
      </c>
      <c r="H47" s="349">
        <v>379.3</v>
      </c>
      <c r="I47" s="349">
        <v>386.2</v>
      </c>
      <c r="J47" s="349">
        <v>387.6</v>
      </c>
      <c r="K47" s="356">
        <v>388.7</v>
      </c>
      <c r="L47" s="356">
        <v>394</v>
      </c>
    </row>
    <row r="48" spans="1:12" ht="12.75" customHeight="1" x14ac:dyDescent="0.15">
      <c r="A48" t="s">
        <v>153</v>
      </c>
      <c r="B48">
        <v>-8.26</v>
      </c>
      <c r="C48">
        <v>-4.9000000000000004</v>
      </c>
      <c r="D48">
        <v>1.33</v>
      </c>
      <c r="E48">
        <v>1.91</v>
      </c>
      <c r="F48">
        <v>1.41</v>
      </c>
      <c r="G48" s="344" t="s">
        <v>212</v>
      </c>
      <c r="H48" s="349">
        <v>385.7</v>
      </c>
      <c r="I48" s="349">
        <v>393.1</v>
      </c>
      <c r="J48" s="349">
        <v>394.9</v>
      </c>
      <c r="K48" s="356">
        <v>397</v>
      </c>
      <c r="L48" s="356">
        <v>402.4</v>
      </c>
    </row>
    <row r="49" spans="1:12" ht="26" x14ac:dyDescent="0.2">
      <c r="A49" s="340" t="s">
        <v>154</v>
      </c>
      <c r="G49" s="344" t="s">
        <v>213</v>
      </c>
      <c r="H49" s="350">
        <v>0.92</v>
      </c>
      <c r="I49" s="350">
        <v>0.78</v>
      </c>
      <c r="J49" s="350">
        <v>1.08</v>
      </c>
      <c r="K49" s="356">
        <v>0.52500000000000002</v>
      </c>
      <c r="L49" s="356">
        <v>0.375</v>
      </c>
    </row>
    <row r="50" spans="1:12" ht="12.75" customHeight="1" x14ac:dyDescent="0.15">
      <c r="A50" t="s">
        <v>152</v>
      </c>
      <c r="B50">
        <v>29804</v>
      </c>
      <c r="C50">
        <v>29720</v>
      </c>
      <c r="D50">
        <v>29672</v>
      </c>
      <c r="E50">
        <v>29115</v>
      </c>
      <c r="F50">
        <v>27843</v>
      </c>
      <c r="G50" s="356"/>
      <c r="H50" s="356"/>
      <c r="I50" s="356"/>
      <c r="J50" s="356"/>
      <c r="K50" s="356"/>
      <c r="L50" s="356"/>
    </row>
    <row r="51" spans="1:12" ht="12.75" customHeight="1" x14ac:dyDescent="0.15">
      <c r="A51" t="s">
        <v>153</v>
      </c>
      <c r="B51">
        <v>29804</v>
      </c>
      <c r="C51">
        <v>29720</v>
      </c>
      <c r="D51">
        <v>30539</v>
      </c>
      <c r="E51">
        <v>30111</v>
      </c>
      <c r="F51">
        <v>29008</v>
      </c>
      <c r="G51" s="356"/>
      <c r="H51" s="356"/>
      <c r="I51" s="356"/>
      <c r="J51" s="356"/>
      <c r="K51" s="356"/>
      <c r="L51" s="356"/>
    </row>
    <row r="52" spans="1:12" ht="12.75" customHeight="1" x14ac:dyDescent="0.2">
      <c r="E52" s="373"/>
      <c r="F52" s="373"/>
      <c r="G52" s="356"/>
      <c r="H52" s="340"/>
      <c r="I52" s="340"/>
      <c r="J52" s="340"/>
      <c r="K52" s="340"/>
      <c r="L52" s="356"/>
    </row>
    <row r="53" spans="1:12" ht="12.75" customHeight="1" x14ac:dyDescent="0.2">
      <c r="E53" s="373"/>
      <c r="F53" s="373"/>
      <c r="G53" s="356"/>
      <c r="H53" s="340"/>
      <c r="I53" s="340"/>
      <c r="J53" s="340"/>
      <c r="K53" s="340"/>
      <c r="L53" s="356"/>
    </row>
    <row r="54" spans="1:12" ht="15.75" customHeight="1" x14ac:dyDescent="0.2">
      <c r="G54" s="356"/>
      <c r="H54" s="340"/>
      <c r="I54" s="340"/>
      <c r="J54" s="340"/>
      <c r="K54" s="340"/>
      <c r="L54" s="356"/>
    </row>
    <row r="55" spans="1:12" ht="33" customHeight="1" x14ac:dyDescent="0.2">
      <c r="A55" s="364" t="s">
        <v>242</v>
      </c>
      <c r="E55" s="356"/>
      <c r="F55" s="356"/>
      <c r="G55" s="360"/>
      <c r="H55" s="340"/>
      <c r="I55" s="340"/>
      <c r="J55" s="340"/>
      <c r="K55" s="340"/>
      <c r="L55" s="356"/>
    </row>
    <row r="56" spans="1:12" ht="30" x14ac:dyDescent="0.2">
      <c r="A56" s="341" t="s">
        <v>155</v>
      </c>
      <c r="B56" s="342" t="s">
        <v>121</v>
      </c>
      <c r="C56" s="342" t="s">
        <v>122</v>
      </c>
      <c r="D56" s="361" t="s">
        <v>123</v>
      </c>
      <c r="E56" s="361" t="s">
        <v>124</v>
      </c>
      <c r="F56" s="361" t="s">
        <v>125</v>
      </c>
      <c r="G56" s="355" t="s">
        <v>214</v>
      </c>
      <c r="H56" s="357" t="s">
        <v>121</v>
      </c>
      <c r="I56" s="357" t="s">
        <v>122</v>
      </c>
      <c r="J56" s="340" t="s">
        <v>215</v>
      </c>
      <c r="K56" s="340" t="s">
        <v>216</v>
      </c>
      <c r="L56" s="360" t="s">
        <v>239</v>
      </c>
    </row>
    <row r="57" spans="1:12" ht="15" x14ac:dyDescent="0.15">
      <c r="A57" s="343" t="s">
        <v>156</v>
      </c>
      <c r="G57" s="343" t="s">
        <v>156</v>
      </c>
      <c r="H57" s="356"/>
      <c r="I57" s="356"/>
      <c r="J57" s="356"/>
      <c r="K57" s="356"/>
      <c r="L57" s="356"/>
    </row>
    <row r="58" spans="1:12" ht="12.75" customHeight="1" x14ac:dyDescent="0.15">
      <c r="A58" s="344" t="s">
        <v>157</v>
      </c>
      <c r="B58" s="345">
        <v>46085</v>
      </c>
      <c r="C58" s="345">
        <v>56308</v>
      </c>
      <c r="D58">
        <v>61674</v>
      </c>
      <c r="E58">
        <v>59080</v>
      </c>
      <c r="F58">
        <v>58850</v>
      </c>
      <c r="G58" s="344" t="s">
        <v>157</v>
      </c>
      <c r="H58" s="348">
        <v>1021.4</v>
      </c>
      <c r="I58" s="348">
        <v>1629.1</v>
      </c>
      <c r="J58" s="356">
        <v>1495.7</v>
      </c>
      <c r="K58" s="370">
        <v>1347.7</v>
      </c>
      <c r="L58" s="356">
        <v>1253</v>
      </c>
    </row>
    <row r="59" spans="1:12" ht="12.75" customHeight="1" x14ac:dyDescent="0.15">
      <c r="A59" s="344" t="s">
        <v>158</v>
      </c>
      <c r="B59" s="346">
        <v>105414</v>
      </c>
      <c r="C59" s="346">
        <v>160806</v>
      </c>
      <c r="D59">
        <v>211763</v>
      </c>
      <c r="E59">
        <v>188141</v>
      </c>
      <c r="F59">
        <v>165622</v>
      </c>
      <c r="G59" s="344" t="s">
        <v>21</v>
      </c>
      <c r="H59" s="349">
        <v>503.7</v>
      </c>
      <c r="I59" s="356"/>
      <c r="J59" s="356"/>
      <c r="K59" s="356"/>
      <c r="L59" s="356"/>
    </row>
    <row r="60" spans="1:12" ht="12.75" customHeight="1" x14ac:dyDescent="0.15">
      <c r="A60" s="344" t="s">
        <v>23</v>
      </c>
      <c r="B60" s="346">
        <v>240740</v>
      </c>
      <c r="C60" s="346">
        <v>338826</v>
      </c>
      <c r="D60">
        <v>310934</v>
      </c>
      <c r="E60">
        <v>291987</v>
      </c>
      <c r="F60">
        <v>246514</v>
      </c>
      <c r="G60" s="344" t="s">
        <v>158</v>
      </c>
      <c r="H60" s="349">
        <v>1174.5</v>
      </c>
      <c r="I60" s="349">
        <v>1379.3</v>
      </c>
      <c r="J60" s="356">
        <v>1171.7</v>
      </c>
      <c r="K60" s="356">
        <v>1060.3</v>
      </c>
      <c r="L60" s="356">
        <v>945.6</v>
      </c>
    </row>
    <row r="61" spans="1:12" ht="12.75" customHeight="1" x14ac:dyDescent="0.15">
      <c r="A61" s="344" t="s">
        <v>159</v>
      </c>
      <c r="B61" s="346">
        <v>2206</v>
      </c>
      <c r="C61" s="346">
        <v>3742</v>
      </c>
      <c r="D61">
        <v>35850</v>
      </c>
      <c r="E61">
        <v>40706</v>
      </c>
      <c r="F61">
        <v>37683</v>
      </c>
      <c r="G61" s="344" t="s">
        <v>217</v>
      </c>
      <c r="H61" s="349">
        <v>1215.8</v>
      </c>
      <c r="I61" s="346">
        <v>1294</v>
      </c>
      <c r="J61" s="356">
        <v>1113.9000000000001</v>
      </c>
      <c r="K61" s="356">
        <v>983.6</v>
      </c>
      <c r="L61" s="356">
        <v>995.6</v>
      </c>
    </row>
    <row r="62" spans="1:12" x14ac:dyDescent="0.15">
      <c r="A62" s="344" t="s">
        <v>160</v>
      </c>
      <c r="B62" s="346">
        <v>29455</v>
      </c>
      <c r="C62" s="346">
        <v>48076</v>
      </c>
      <c r="D62">
        <v>37458</v>
      </c>
      <c r="E62">
        <v>44583</v>
      </c>
      <c r="F62">
        <v>45725</v>
      </c>
      <c r="G62" s="344" t="s">
        <v>218</v>
      </c>
      <c r="H62" s="349">
        <v>553.1</v>
      </c>
      <c r="I62" s="349">
        <v>522.79999999999995</v>
      </c>
      <c r="J62" s="356">
        <v>515.9</v>
      </c>
      <c r="K62" s="356">
        <v>463.5</v>
      </c>
      <c r="L62" s="356">
        <v>492.3</v>
      </c>
    </row>
    <row r="63" spans="1:12" ht="12.75" customHeight="1" x14ac:dyDescent="0.15">
      <c r="A63" s="344" t="s">
        <v>25</v>
      </c>
      <c r="B63" s="346">
        <v>423900</v>
      </c>
      <c r="C63" s="346">
        <v>607758</v>
      </c>
      <c r="D63">
        <v>657679</v>
      </c>
      <c r="E63">
        <v>624497</v>
      </c>
      <c r="F63">
        <v>554394</v>
      </c>
      <c r="G63" s="344" t="s">
        <v>25</v>
      </c>
      <c r="H63" s="349">
        <v>4468.5</v>
      </c>
      <c r="I63" s="349">
        <v>4825.2</v>
      </c>
      <c r="J63" s="356">
        <v>4297.2</v>
      </c>
      <c r="K63" s="356">
        <v>3855.1</v>
      </c>
      <c r="L63" s="356">
        <v>3686.5</v>
      </c>
    </row>
    <row r="64" spans="1:12" x14ac:dyDescent="0.15">
      <c r="A64" s="344" t="s">
        <v>161</v>
      </c>
      <c r="B64" s="346">
        <v>105821</v>
      </c>
      <c r="C64" s="346">
        <v>116806</v>
      </c>
      <c r="D64">
        <v>106588</v>
      </c>
      <c r="E64">
        <v>89438</v>
      </c>
      <c r="F64">
        <v>82762</v>
      </c>
      <c r="G64" s="344" t="s">
        <v>219</v>
      </c>
      <c r="H64" s="349">
        <v>1490.2</v>
      </c>
      <c r="I64" s="349">
        <v>1502.6</v>
      </c>
      <c r="J64" s="356">
        <v>1350.7</v>
      </c>
      <c r="K64" s="356">
        <v>1231.8</v>
      </c>
      <c r="L64" s="356">
        <v>1143.0999999999999</v>
      </c>
    </row>
    <row r="65" spans="1:12" ht="26" x14ac:dyDescent="0.15">
      <c r="A65" s="344" t="s">
        <v>162</v>
      </c>
      <c r="B65" s="346">
        <v>224895</v>
      </c>
      <c r="C65" s="346">
        <v>275004</v>
      </c>
      <c r="D65">
        <v>296416</v>
      </c>
      <c r="E65">
        <v>314502</v>
      </c>
      <c r="F65">
        <v>184758</v>
      </c>
      <c r="G65" s="343" t="s">
        <v>220</v>
      </c>
      <c r="H65" s="356"/>
      <c r="I65" s="356"/>
      <c r="J65" s="356"/>
      <c r="K65" s="356"/>
      <c r="L65" s="356"/>
    </row>
    <row r="66" spans="1:12" x14ac:dyDescent="0.15">
      <c r="A66" s="344" t="s">
        <v>163</v>
      </c>
      <c r="B66" s="346">
        <v>31607</v>
      </c>
      <c r="C66" s="346">
        <v>31607</v>
      </c>
      <c r="D66">
        <v>21054</v>
      </c>
      <c r="E66">
        <v>21054</v>
      </c>
      <c r="F66">
        <v>21054</v>
      </c>
      <c r="G66" s="344" t="s">
        <v>105</v>
      </c>
      <c r="H66" s="349">
        <v>420.3</v>
      </c>
      <c r="I66" s="349">
        <v>13.6</v>
      </c>
      <c r="J66" s="356"/>
      <c r="K66" s="356"/>
      <c r="L66" s="356"/>
    </row>
    <row r="67" spans="1:12" ht="12.75" customHeight="1" x14ac:dyDescent="0.15">
      <c r="A67" s="344" t="s">
        <v>164</v>
      </c>
      <c r="B67" s="346">
        <v>7396</v>
      </c>
      <c r="C67" s="346">
        <v>7225</v>
      </c>
      <c r="D67">
        <v>6536</v>
      </c>
      <c r="E67">
        <v>7903</v>
      </c>
      <c r="F67">
        <v>8740</v>
      </c>
      <c r="G67" s="344" t="s">
        <v>163</v>
      </c>
      <c r="H67" s="349">
        <v>1144.8</v>
      </c>
      <c r="I67" s="349">
        <v>893.2</v>
      </c>
      <c r="J67" s="356">
        <v>881.5</v>
      </c>
      <c r="K67" s="356">
        <v>882.6</v>
      </c>
      <c r="L67" s="356">
        <v>877.3</v>
      </c>
    </row>
    <row r="68" spans="1:12" x14ac:dyDescent="0.15">
      <c r="A68" s="344" t="s">
        <v>159</v>
      </c>
      <c r="B68" s="346">
        <v>2739</v>
      </c>
      <c r="C68" s="346">
        <v>5213</v>
      </c>
      <c r="D68">
        <v>1442</v>
      </c>
      <c r="E68">
        <v>1866</v>
      </c>
      <c r="F68">
        <v>2521</v>
      </c>
      <c r="G68" s="344" t="s">
        <v>221</v>
      </c>
      <c r="H68" s="349">
        <v>326.60000000000002</v>
      </c>
      <c r="I68" s="349">
        <v>157.30000000000001</v>
      </c>
      <c r="J68" s="356">
        <v>169.6</v>
      </c>
      <c r="K68" s="356">
        <v>190.1</v>
      </c>
      <c r="L68" s="356">
        <v>227.5</v>
      </c>
    </row>
    <row r="69" spans="1:12" ht="12.75" customHeight="1" x14ac:dyDescent="0.15">
      <c r="A69" s="344" t="s">
        <v>165</v>
      </c>
      <c r="B69" s="346">
        <v>16866</v>
      </c>
      <c r="C69" s="346">
        <v>18040</v>
      </c>
      <c r="D69">
        <v>14017</v>
      </c>
      <c r="E69">
        <v>7494</v>
      </c>
      <c r="F69">
        <v>608</v>
      </c>
      <c r="G69" s="344" t="s">
        <v>222</v>
      </c>
      <c r="H69" s="349">
        <v>388.8</v>
      </c>
      <c r="I69" s="349">
        <v>476.9</v>
      </c>
      <c r="J69" s="356">
        <v>446.2</v>
      </c>
      <c r="K69" s="356">
        <v>433.4</v>
      </c>
      <c r="L69" s="356">
        <v>339.5</v>
      </c>
    </row>
    <row r="70" spans="1:12" x14ac:dyDescent="0.15">
      <c r="A70" s="344" t="s">
        <v>69</v>
      </c>
      <c r="B70" s="346">
        <v>813224</v>
      </c>
      <c r="C70" s="346">
        <v>1061653</v>
      </c>
      <c r="D70">
        <v>1103732</v>
      </c>
      <c r="E70">
        <v>1066754</v>
      </c>
      <c r="F70">
        <v>854837</v>
      </c>
      <c r="G70" s="344" t="s">
        <v>223</v>
      </c>
      <c r="H70" s="349">
        <v>2280.5</v>
      </c>
      <c r="I70" s="346">
        <v>1541</v>
      </c>
      <c r="J70" s="356">
        <v>1497.3</v>
      </c>
      <c r="K70" s="356">
        <v>1506.1</v>
      </c>
      <c r="L70" s="356">
        <v>1444.3</v>
      </c>
    </row>
    <row r="71" spans="1:12" ht="12.75" customHeight="1" x14ac:dyDescent="0.15">
      <c r="G71" s="344" t="s">
        <v>69</v>
      </c>
      <c r="H71" s="349">
        <v>8239.2000000000007</v>
      </c>
      <c r="I71" s="349">
        <v>7868.8</v>
      </c>
      <c r="J71" s="356">
        <v>7145.2</v>
      </c>
      <c r="K71" s="356">
        <v>6593</v>
      </c>
      <c r="L71" s="356">
        <v>6273.9</v>
      </c>
    </row>
    <row r="72" spans="1:12" ht="15" x14ac:dyDescent="0.15">
      <c r="A72" s="343" t="s">
        <v>166</v>
      </c>
      <c r="G72" s="343" t="s">
        <v>166</v>
      </c>
      <c r="H72" s="356"/>
      <c r="I72" s="356"/>
      <c r="J72" s="356"/>
      <c r="K72" s="356"/>
      <c r="L72" s="356"/>
    </row>
    <row r="73" spans="1:12" ht="12.75" customHeight="1" x14ac:dyDescent="0.15">
      <c r="A73" s="344" t="s">
        <v>167</v>
      </c>
      <c r="B73" s="346">
        <v>8300</v>
      </c>
      <c r="C73" s="346">
        <v>80418</v>
      </c>
      <c r="D73">
        <v>88000</v>
      </c>
      <c r="E73">
        <v>89200</v>
      </c>
      <c r="F73" t="s">
        <v>168</v>
      </c>
      <c r="G73" s="344" t="s">
        <v>224</v>
      </c>
      <c r="H73" s="349">
        <v>29.8</v>
      </c>
      <c r="I73" s="349">
        <v>18.399999999999999</v>
      </c>
      <c r="J73" s="356">
        <v>18.3</v>
      </c>
      <c r="K73" s="356">
        <v>219</v>
      </c>
      <c r="L73" s="356">
        <v>138</v>
      </c>
    </row>
    <row r="74" spans="1:12" x14ac:dyDescent="0.15">
      <c r="A74" s="344" t="s">
        <v>169</v>
      </c>
      <c r="B74" s="346">
        <v>92699</v>
      </c>
      <c r="C74" s="346">
        <v>81660</v>
      </c>
      <c r="D74">
        <v>115180</v>
      </c>
      <c r="E74">
        <v>77961</v>
      </c>
      <c r="F74">
        <v>47951</v>
      </c>
      <c r="G74" s="344" t="s">
        <v>28</v>
      </c>
      <c r="H74" s="349">
        <v>635.4</v>
      </c>
      <c r="I74" s="349">
        <v>524.5</v>
      </c>
      <c r="J74" s="356">
        <v>481.7</v>
      </c>
      <c r="K74" s="356">
        <v>493.8</v>
      </c>
      <c r="L74" s="356">
        <v>446.7</v>
      </c>
    </row>
    <row r="75" spans="1:12" ht="12.75" customHeight="1" x14ac:dyDescent="0.15">
      <c r="A75" s="344" t="s">
        <v>170</v>
      </c>
      <c r="B75" s="346">
        <v>114978</v>
      </c>
      <c r="C75" s="346">
        <v>111953</v>
      </c>
      <c r="D75">
        <v>90179</v>
      </c>
      <c r="E75">
        <v>111518</v>
      </c>
      <c r="F75">
        <v>117546</v>
      </c>
      <c r="G75" s="344"/>
      <c r="H75" s="349"/>
      <c r="I75" s="349"/>
      <c r="J75" s="356">
        <v>81.3</v>
      </c>
      <c r="K75" s="356">
        <v>97.2</v>
      </c>
      <c r="L75" s="356">
        <v>62.3</v>
      </c>
    </row>
    <row r="76" spans="1:12" x14ac:dyDescent="0.15">
      <c r="A76" s="344" t="s">
        <v>31</v>
      </c>
      <c r="B76" s="346">
        <v>215977</v>
      </c>
      <c r="C76" s="346">
        <v>274031</v>
      </c>
      <c r="D76">
        <v>293359</v>
      </c>
      <c r="E76">
        <v>278679</v>
      </c>
      <c r="F76">
        <v>165497</v>
      </c>
      <c r="G76" s="344" t="s">
        <v>225</v>
      </c>
      <c r="H76" s="349">
        <v>1470.4</v>
      </c>
      <c r="I76" s="349">
        <v>1513.8</v>
      </c>
      <c r="J76" s="356">
        <v>1353.3</v>
      </c>
      <c r="K76" s="356">
        <v>1315.8</v>
      </c>
      <c r="L76" s="356">
        <v>1296.3</v>
      </c>
    </row>
    <row r="77" spans="1:12" ht="12.75" customHeight="1" x14ac:dyDescent="0.15">
      <c r="A77" s="344"/>
      <c r="B77" s="346"/>
      <c r="C77" s="346"/>
      <c r="G77" s="344" t="s">
        <v>31</v>
      </c>
      <c r="H77" s="349">
        <v>2135.6</v>
      </c>
      <c r="I77" s="349">
        <v>2056.6999999999998</v>
      </c>
      <c r="J77" s="356">
        <v>1934.6</v>
      </c>
      <c r="K77" s="356">
        <v>2125.8000000000002</v>
      </c>
      <c r="L77" s="356">
        <v>1943.3</v>
      </c>
    </row>
    <row r="78" spans="1:12" ht="15" x14ac:dyDescent="0.15">
      <c r="A78" s="343" t="s">
        <v>171</v>
      </c>
      <c r="G78" s="343" t="s">
        <v>226</v>
      </c>
      <c r="H78" s="356"/>
      <c r="I78" s="356"/>
      <c r="J78" s="356"/>
      <c r="K78" s="356"/>
      <c r="L78" s="356"/>
    </row>
    <row r="79" spans="1:12" ht="12.75" customHeight="1" x14ac:dyDescent="0.15">
      <c r="A79" s="344" t="s">
        <v>172</v>
      </c>
      <c r="B79" s="346">
        <v>355634</v>
      </c>
      <c r="C79" s="346">
        <v>356432</v>
      </c>
      <c r="D79">
        <v>250000</v>
      </c>
      <c r="E79">
        <v>250000</v>
      </c>
      <c r="F79">
        <v>250000</v>
      </c>
      <c r="G79" s="344" t="s">
        <v>172</v>
      </c>
      <c r="H79" s="349">
        <v>1607.5</v>
      </c>
      <c r="I79" s="349">
        <v>1324.7</v>
      </c>
      <c r="J79" s="356">
        <v>1326</v>
      </c>
      <c r="K79" s="356">
        <v>1069.0999999999999</v>
      </c>
      <c r="L79" s="356">
        <v>1080.0999999999999</v>
      </c>
    </row>
    <row r="80" spans="1:12" x14ac:dyDescent="0.15">
      <c r="A80" s="344" t="s">
        <v>173</v>
      </c>
      <c r="B80" s="352">
        <v>54901</v>
      </c>
      <c r="C80" s="352">
        <v>54648</v>
      </c>
      <c r="D80">
        <v>45091</v>
      </c>
      <c r="E80">
        <v>56348</v>
      </c>
      <c r="F80">
        <v>21575</v>
      </c>
      <c r="G80" s="369" t="s">
        <v>243</v>
      </c>
      <c r="H80" s="349"/>
      <c r="I80" s="349"/>
      <c r="J80" s="356">
        <v>80.599999999999994</v>
      </c>
      <c r="K80" s="356">
        <v>106.3</v>
      </c>
      <c r="L80" s="356"/>
    </row>
    <row r="81" spans="1:12" ht="12.75" customHeight="1" x14ac:dyDescent="0.15">
      <c r="A81" s="344" t="s">
        <v>174</v>
      </c>
      <c r="B81" s="346">
        <v>410535</v>
      </c>
      <c r="C81" s="346">
        <v>411080</v>
      </c>
      <c r="D81">
        <v>295091</v>
      </c>
      <c r="E81">
        <v>306348</v>
      </c>
      <c r="F81">
        <v>271575</v>
      </c>
      <c r="G81" s="344"/>
      <c r="H81" s="349"/>
      <c r="I81" s="349"/>
      <c r="J81" s="356"/>
      <c r="K81" s="356"/>
      <c r="L81" s="356">
        <v>130</v>
      </c>
    </row>
    <row r="82" spans="1:12" x14ac:dyDescent="0.15">
      <c r="A82" s="344" t="s">
        <v>175</v>
      </c>
      <c r="B82" s="346">
        <v>626512</v>
      </c>
      <c r="C82" s="346">
        <v>685111</v>
      </c>
      <c r="D82">
        <v>588450</v>
      </c>
      <c r="E82">
        <v>585027</v>
      </c>
      <c r="F82">
        <v>437072</v>
      </c>
      <c r="G82" s="344" t="s">
        <v>227</v>
      </c>
      <c r="H82" s="349">
        <v>841.8</v>
      </c>
      <c r="I82" s="346">
        <v>618</v>
      </c>
      <c r="J82" s="356">
        <v>502.1</v>
      </c>
      <c r="K82" s="356">
        <v>544.29999999999995</v>
      </c>
      <c r="L82" s="356">
        <v>473.5</v>
      </c>
    </row>
    <row r="83" spans="1:12" ht="26" x14ac:dyDescent="0.15">
      <c r="A83" s="344" t="s">
        <v>176</v>
      </c>
      <c r="B83" s="345">
        <v>4222</v>
      </c>
      <c r="C83" s="345">
        <v>5553</v>
      </c>
      <c r="G83" s="344" t="s">
        <v>228</v>
      </c>
      <c r="H83" s="348">
        <v>2449.3000000000002</v>
      </c>
      <c r="I83" s="348">
        <v>1942.7</v>
      </c>
      <c r="J83" s="356">
        <v>1908.7</v>
      </c>
      <c r="K83" s="356">
        <v>1719.7</v>
      </c>
      <c r="L83" s="356">
        <v>1683.6</v>
      </c>
    </row>
    <row r="84" spans="1:12" ht="26" x14ac:dyDescent="0.15">
      <c r="A84" s="344" t="s">
        <v>177</v>
      </c>
      <c r="D84" t="s">
        <v>168</v>
      </c>
      <c r="E84" t="s">
        <v>168</v>
      </c>
      <c r="F84" t="s">
        <v>168</v>
      </c>
      <c r="G84" s="344" t="s">
        <v>229</v>
      </c>
      <c r="H84" s="356"/>
      <c r="I84" s="356"/>
      <c r="J84" s="356" t="s">
        <v>168</v>
      </c>
      <c r="K84" s="356" t="s">
        <v>168</v>
      </c>
      <c r="L84" s="356"/>
    </row>
    <row r="85" spans="1:12" ht="52" x14ac:dyDescent="0.15">
      <c r="A85" s="344" t="s">
        <v>178</v>
      </c>
      <c r="B85" s="345">
        <v>50000</v>
      </c>
      <c r="G85" s="343" t="s">
        <v>78</v>
      </c>
      <c r="H85" s="356"/>
      <c r="I85" s="356"/>
      <c r="J85" s="356"/>
      <c r="K85" s="356"/>
      <c r="L85" s="356"/>
    </row>
    <row r="86" spans="1:12" ht="117" x14ac:dyDescent="0.15">
      <c r="A86" s="343" t="s">
        <v>179</v>
      </c>
      <c r="G86" s="344" t="s">
        <v>230</v>
      </c>
      <c r="H86" s="348">
        <v>5.7</v>
      </c>
      <c r="I86" s="348">
        <v>5.6</v>
      </c>
      <c r="J86" s="356">
        <v>5.6</v>
      </c>
      <c r="K86" s="356">
        <v>5.5</v>
      </c>
      <c r="L86" s="356">
        <v>5.5</v>
      </c>
    </row>
    <row r="87" spans="1:12" ht="39" x14ac:dyDescent="0.15">
      <c r="A87" s="344" t="s">
        <v>180</v>
      </c>
      <c r="B87" s="352">
        <v>347</v>
      </c>
      <c r="C87" s="354">
        <v>346</v>
      </c>
      <c r="D87">
        <v>343</v>
      </c>
      <c r="E87">
        <v>338</v>
      </c>
      <c r="F87">
        <v>334</v>
      </c>
      <c r="G87" s="344" t="s">
        <v>231</v>
      </c>
      <c r="H87" s="349">
        <v>2871.6</v>
      </c>
      <c r="I87" s="349">
        <v>2562.6999999999998</v>
      </c>
      <c r="J87" s="356">
        <v>2289.9</v>
      </c>
      <c r="K87" s="356">
        <v>2006.1</v>
      </c>
      <c r="L87" s="356">
        <v>1735.6</v>
      </c>
    </row>
    <row r="88" spans="1:12" x14ac:dyDescent="0.15">
      <c r="A88" s="344" t="s">
        <v>181</v>
      </c>
      <c r="B88" s="346">
        <v>375796</v>
      </c>
      <c r="C88" s="346">
        <v>356260</v>
      </c>
      <c r="D88">
        <v>349060</v>
      </c>
      <c r="E88">
        <v>337740</v>
      </c>
      <c r="F88">
        <v>327226</v>
      </c>
      <c r="G88" s="344" t="s">
        <v>232</v>
      </c>
      <c r="H88" s="349">
        <v>7004.1</v>
      </c>
      <c r="I88" s="349">
        <v>6265.8</v>
      </c>
      <c r="J88" s="356">
        <v>5364.1</v>
      </c>
      <c r="K88" s="356">
        <v>4764.8999999999996</v>
      </c>
      <c r="L88" s="356">
        <v>4113.7</v>
      </c>
    </row>
    <row r="89" spans="1:12" ht="12.75" customHeight="1" x14ac:dyDescent="0.15">
      <c r="A89" s="344" t="s">
        <v>182</v>
      </c>
      <c r="B89" s="346">
        <v>-133989</v>
      </c>
      <c r="C89" s="346">
        <v>112337</v>
      </c>
      <c r="D89">
        <v>258065</v>
      </c>
      <c r="E89">
        <v>217354</v>
      </c>
      <c r="F89">
        <v>159935</v>
      </c>
      <c r="G89" s="344" t="s">
        <v>233</v>
      </c>
      <c r="H89" s="349">
        <v>-381.5</v>
      </c>
      <c r="I89" s="349">
        <v>-100.3</v>
      </c>
      <c r="J89" s="356">
        <v>-157.5</v>
      </c>
      <c r="K89" s="356">
        <v>-212.9</v>
      </c>
      <c r="L89" s="356">
        <v>17.7</v>
      </c>
    </row>
    <row r="90" spans="1:12" ht="26" x14ac:dyDescent="0.15">
      <c r="A90" s="344" t="s">
        <v>183</v>
      </c>
      <c r="B90" s="346">
        <v>-93169</v>
      </c>
      <c r="C90" s="346">
        <v>-93169</v>
      </c>
      <c r="D90">
        <v>-87776</v>
      </c>
      <c r="E90">
        <v>-74871</v>
      </c>
      <c r="F90">
        <v>-74871</v>
      </c>
      <c r="G90" s="344" t="s">
        <v>234</v>
      </c>
      <c r="H90" s="349">
        <v>9499.9</v>
      </c>
      <c r="I90" s="349">
        <v>8733.7999999999993</v>
      </c>
      <c r="J90" s="356">
        <v>7502.1</v>
      </c>
      <c r="K90" s="356">
        <v>6563.6</v>
      </c>
      <c r="L90" s="356">
        <v>5872.5</v>
      </c>
    </row>
    <row r="91" spans="1:12" ht="39" x14ac:dyDescent="0.15">
      <c r="A91" s="344" t="s">
        <v>184</v>
      </c>
      <c r="B91" s="346">
        <v>-16586</v>
      </c>
      <c r="C91" s="346">
        <v>-4785</v>
      </c>
      <c r="D91">
        <v>-4410</v>
      </c>
      <c r="E91">
        <v>1166</v>
      </c>
      <c r="F91">
        <v>5141</v>
      </c>
      <c r="G91" s="344" t="s">
        <v>235</v>
      </c>
      <c r="H91" s="349">
        <v>-5856.7</v>
      </c>
      <c r="I91" s="349">
        <v>-4878.8999999999996</v>
      </c>
      <c r="J91" s="356">
        <v>-4215.2</v>
      </c>
      <c r="K91" s="356">
        <v>-3830.4</v>
      </c>
      <c r="L91" s="356">
        <v>-3243.1</v>
      </c>
    </row>
    <row r="92" spans="1:12" ht="26" x14ac:dyDescent="0.15">
      <c r="A92" s="344" t="s">
        <v>185</v>
      </c>
      <c r="B92" s="346">
        <v>132399</v>
      </c>
      <c r="C92" s="346">
        <v>370989</v>
      </c>
      <c r="D92">
        <v>515282</v>
      </c>
      <c r="E92">
        <v>481727</v>
      </c>
      <c r="F92">
        <v>417765</v>
      </c>
      <c r="G92" s="344" t="s">
        <v>236</v>
      </c>
      <c r="H92" s="349">
        <v>3643.2</v>
      </c>
      <c r="I92" s="349">
        <v>3854.9</v>
      </c>
      <c r="J92" s="356">
        <v>3286.9</v>
      </c>
      <c r="K92" s="356">
        <v>2733.2</v>
      </c>
      <c r="L92" s="356">
        <v>2629.4</v>
      </c>
    </row>
    <row r="93" spans="1:12" x14ac:dyDescent="0.15">
      <c r="A93" s="344" t="s">
        <v>186</v>
      </c>
      <c r="B93" s="346">
        <v>91</v>
      </c>
      <c r="G93" s="344" t="s">
        <v>237</v>
      </c>
      <c r="H93" s="349">
        <v>11.1</v>
      </c>
      <c r="I93" s="349">
        <v>14.5</v>
      </c>
      <c r="J93" s="356">
        <v>15</v>
      </c>
      <c r="K93" s="356">
        <v>14.3</v>
      </c>
      <c r="L93" s="356">
        <v>17.600000000000001</v>
      </c>
    </row>
    <row r="94" spans="1:12" x14ac:dyDescent="0.15">
      <c r="A94" s="344" t="s">
        <v>187</v>
      </c>
      <c r="B94" s="346">
        <v>132490</v>
      </c>
      <c r="C94" s="346">
        <v>370989</v>
      </c>
      <c r="G94" s="344" t="s">
        <v>238</v>
      </c>
      <c r="H94" s="349">
        <v>3654.3</v>
      </c>
      <c r="I94" s="349">
        <v>3869.4</v>
      </c>
      <c r="J94" s="356">
        <v>3301.9</v>
      </c>
      <c r="K94" s="356">
        <v>2747.5</v>
      </c>
      <c r="L94" s="356">
        <v>2647</v>
      </c>
    </row>
    <row r="95" spans="1:12" ht="39" x14ac:dyDescent="0.15">
      <c r="A95" s="344" t="s">
        <v>188</v>
      </c>
      <c r="B95" s="351">
        <v>813224</v>
      </c>
      <c r="C95" s="351">
        <v>1061653</v>
      </c>
      <c r="D95">
        <v>1103732</v>
      </c>
      <c r="E95">
        <v>1066754</v>
      </c>
      <c r="F95">
        <v>854837</v>
      </c>
      <c r="G95" s="344" t="s">
        <v>36</v>
      </c>
      <c r="H95" s="353">
        <v>8239.2000000000007</v>
      </c>
      <c r="I95" s="353">
        <v>7868.8</v>
      </c>
      <c r="J95" s="301">
        <v>7145.2</v>
      </c>
      <c r="K95" s="356">
        <v>6593</v>
      </c>
      <c r="L95" s="356">
        <v>6273.9</v>
      </c>
    </row>
    <row r="96" spans="1:12" x14ac:dyDescent="0.15">
      <c r="G96" s="372"/>
      <c r="H96" s="349"/>
      <c r="I96" s="349"/>
    </row>
    <row r="97" spans="7:9" x14ac:dyDescent="0.15">
      <c r="G97" s="373"/>
      <c r="H97" s="349"/>
      <c r="I97" s="349"/>
    </row>
    <row r="98" spans="7:9" x14ac:dyDescent="0.15">
      <c r="G98" s="372"/>
      <c r="H98" s="349"/>
      <c r="I98" s="349"/>
    </row>
    <row r="99" spans="7:9" x14ac:dyDescent="0.15">
      <c r="G99" s="373"/>
      <c r="H99" s="349"/>
      <c r="I99" s="349"/>
    </row>
    <row r="100" spans="7:9" x14ac:dyDescent="0.15">
      <c r="G100" s="372"/>
      <c r="H100" s="348"/>
      <c r="I100" s="348"/>
    </row>
    <row r="101" spans="7:9" x14ac:dyDescent="0.15">
      <c r="G101" s="373"/>
    </row>
  </sheetData>
  <mergeCells count="8">
    <mergeCell ref="G100:G101"/>
    <mergeCell ref="G96:G97"/>
    <mergeCell ref="G21:G22"/>
    <mergeCell ref="H21:L21"/>
    <mergeCell ref="B21:F21"/>
    <mergeCell ref="E52:F52"/>
    <mergeCell ref="E53:F53"/>
    <mergeCell ref="G98:G99"/>
  </mergeCells>
  <phoneticPr fontId="0"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T122"/>
  <sheetViews>
    <sheetView tabSelected="1" workbookViewId="0">
      <pane xSplit="1" topLeftCell="F1" activePane="topRight" state="frozenSplit"/>
      <selection activeCell="A3" sqref="A3"/>
      <selection pane="topRight" activeCell="H22" sqref="H22"/>
    </sheetView>
  </sheetViews>
  <sheetFormatPr baseColWidth="10" defaultColWidth="14.6640625" defaultRowHeight="13" x14ac:dyDescent="0.15"/>
  <cols>
    <col min="1" max="1" width="42.5" style="13" customWidth="1"/>
    <col min="2" max="2" width="16.6640625" style="13" customWidth="1"/>
    <col min="3" max="4" width="17.1640625" style="13" customWidth="1"/>
    <col min="5" max="5" width="17.5" style="13" customWidth="1"/>
    <col min="6" max="6" width="17" style="13" customWidth="1"/>
    <col min="7" max="7" width="0.5" style="13" customWidth="1"/>
    <col min="8" max="9" width="15" style="13" customWidth="1"/>
    <col min="10" max="10" width="16" style="13" customWidth="1"/>
    <col min="11" max="11" width="15.5" style="13" customWidth="1"/>
    <col min="12" max="12" width="15.1640625" style="13" customWidth="1"/>
    <col min="13" max="13" width="0.5" style="13" customWidth="1"/>
    <col min="14" max="18" width="12.1640625" style="13" customWidth="1"/>
    <col min="19" max="19" width="0.5" style="13" customWidth="1"/>
    <col min="20" max="29" width="12.1640625" style="13" customWidth="1"/>
    <col min="30" max="30" width="0.33203125" style="286" customWidth="1"/>
    <col min="31" max="40" width="12.1640625" style="13" customWidth="1"/>
    <col min="41" max="41" width="0.33203125" style="13" customWidth="1"/>
    <col min="42" max="46" width="12.1640625" style="13" customWidth="1"/>
    <col min="47" max="16384" width="14.6640625" style="13"/>
  </cols>
  <sheetData>
    <row r="1" spans="1:46" ht="19" thickTop="1" x14ac:dyDescent="0.2">
      <c r="A1" s="376">
        <v>2015</v>
      </c>
      <c r="B1" s="391" t="str">
        <f>IF('Data From SEC'!A20="","Company A",'Data From SEC'!A20)</f>
        <v>ELIZABETH ARDEN INC</v>
      </c>
      <c r="C1" s="392"/>
      <c r="D1" s="392"/>
      <c r="E1" s="392"/>
      <c r="F1" s="393"/>
      <c r="G1" s="11"/>
      <c r="H1" s="394" t="str">
        <f>IF('Data From SEC'!G20="","Company B",'Data From SEC'!G20)</f>
        <v>ESTEE LAUDER COMPANIES INC</v>
      </c>
      <c r="I1" s="395"/>
      <c r="J1" s="395"/>
      <c r="K1" s="395"/>
      <c r="L1" s="396"/>
      <c r="M1" s="12"/>
      <c r="N1" s="400" t="str">
        <f>COMPANY.A</f>
        <v>ELIZABETH ARDEN INC</v>
      </c>
      <c r="O1" s="401"/>
      <c r="P1" s="401"/>
      <c r="Q1" s="401"/>
      <c r="R1" s="402"/>
      <c r="S1" s="11"/>
      <c r="T1" s="415" t="str">
        <f>COMPANY.B</f>
        <v>ESTEE LAUDER COMPANIES INC</v>
      </c>
      <c r="U1" s="416"/>
      <c r="V1" s="416"/>
      <c r="W1" s="416"/>
      <c r="X1" s="417"/>
      <c r="Y1" s="391" t="str">
        <f>COMPANY.A</f>
        <v>ELIZABETH ARDEN INC</v>
      </c>
      <c r="Z1" s="392"/>
      <c r="AA1" s="392"/>
      <c r="AB1" s="392"/>
      <c r="AC1" s="393"/>
      <c r="AD1" s="281"/>
      <c r="AE1" s="394" t="str">
        <f>COMPANY.B</f>
        <v>ESTEE LAUDER COMPANIES INC</v>
      </c>
      <c r="AF1" s="395"/>
      <c r="AG1" s="395"/>
      <c r="AH1" s="395"/>
      <c r="AI1" s="396"/>
      <c r="AJ1" s="412" t="str">
        <f>COMPANY.A</f>
        <v>ELIZABETH ARDEN INC</v>
      </c>
      <c r="AK1" s="413"/>
      <c r="AL1" s="413"/>
      <c r="AM1" s="413"/>
      <c r="AN1" s="414"/>
      <c r="AO1" s="11"/>
      <c r="AP1" s="409" t="str">
        <f>COMPANY.B</f>
        <v>ESTEE LAUDER COMPANIES INC</v>
      </c>
      <c r="AQ1" s="410"/>
      <c r="AR1" s="410"/>
      <c r="AS1" s="410"/>
      <c r="AT1" s="411"/>
    </row>
    <row r="2" spans="1:46" ht="18" x14ac:dyDescent="0.2">
      <c r="A2" s="377"/>
      <c r="B2" s="379" t="s">
        <v>95</v>
      </c>
      <c r="C2" s="380"/>
      <c r="D2" s="380"/>
      <c r="E2" s="380"/>
      <c r="F2" s="381"/>
      <c r="G2" s="176"/>
      <c r="H2" s="382" t="s">
        <v>95</v>
      </c>
      <c r="I2" s="383"/>
      <c r="J2" s="383"/>
      <c r="K2" s="383"/>
      <c r="L2" s="384"/>
      <c r="M2" s="177"/>
      <c r="N2" s="385" t="s">
        <v>96</v>
      </c>
      <c r="O2" s="386"/>
      <c r="P2" s="386"/>
      <c r="Q2" s="386"/>
      <c r="R2" s="387"/>
      <c r="S2" s="176"/>
      <c r="T2" s="421" t="s">
        <v>97</v>
      </c>
      <c r="U2" s="422"/>
      <c r="V2" s="422"/>
      <c r="W2" s="422"/>
      <c r="X2" s="423"/>
      <c r="Y2" s="379" t="s">
        <v>4</v>
      </c>
      <c r="Z2" s="380"/>
      <c r="AA2" s="380"/>
      <c r="AB2" s="380"/>
      <c r="AC2" s="381"/>
      <c r="AD2" s="282"/>
      <c r="AE2" s="382" t="s">
        <v>4</v>
      </c>
      <c r="AF2" s="383"/>
      <c r="AG2" s="383"/>
      <c r="AH2" s="383"/>
      <c r="AI2" s="384"/>
      <c r="AJ2" s="424" t="s">
        <v>96</v>
      </c>
      <c r="AK2" s="425"/>
      <c r="AL2" s="425"/>
      <c r="AM2" s="425"/>
      <c r="AN2" s="426"/>
      <c r="AO2" s="176"/>
      <c r="AP2" s="397" t="s">
        <v>96</v>
      </c>
      <c r="AQ2" s="398"/>
      <c r="AR2" s="398"/>
      <c r="AS2" s="398"/>
      <c r="AT2" s="399"/>
    </row>
    <row r="3" spans="1:46" ht="18" x14ac:dyDescent="0.2">
      <c r="A3" s="377"/>
      <c r="B3" s="237" t="str">
        <f>IF('Data From SEC'!B14=1000000,"in $millions",IF('Data From SEC'!B14=1000,"in $thousands",""))</f>
        <v>in $thousands</v>
      </c>
      <c r="C3" s="238" t="str">
        <f>IF('Data From SEC'!C14=1000000,"in $millions",IF('Data From SEC'!C14=1000,"in $thousands",""))</f>
        <v>in $thousands</v>
      </c>
      <c r="D3" s="238" t="str">
        <f>IF('Data From SEC'!D14=1000000,"in $millions",IF('Data From SEC'!D14=1000,"in $thousands",""))</f>
        <v>in $thousands</v>
      </c>
      <c r="E3" s="238" t="str">
        <f>IF('Data From SEC'!E14=1000000,"in $millions",IF('Data From SEC'!E14=1000,"in $thousands",""))</f>
        <v>in $thousands</v>
      </c>
      <c r="F3" s="239" t="str">
        <f>IF('Data From SEC'!F14=1000000,"in $millions",IF('Data From SEC'!F14=1000,"in $thousands",""))</f>
        <v>in $thousands</v>
      </c>
      <c r="G3" s="176"/>
      <c r="H3" s="234" t="str">
        <f>IF('Data From SEC'!H14=1000000,"in $millions",IF('Data From SEC'!H14=1000,"in $thousands",""))</f>
        <v>in $millions</v>
      </c>
      <c r="I3" s="235" t="str">
        <f>IF('Data From SEC'!I14=1000000,"in $millions",IF('Data From SEC'!I14=1000,"in $thousands",""))</f>
        <v>in $millions</v>
      </c>
      <c r="J3" s="235" t="str">
        <f>IF('Data From SEC'!J14=1000000,"in $millions",IF('Data From SEC'!J14=1000,"in $thousands",""))</f>
        <v>in $millions</v>
      </c>
      <c r="K3" s="235" t="str">
        <f>IF('Data From SEC'!K14=1000000,"in $millions",IF('Data From SEC'!K14=1000,"in $thousands",""))</f>
        <v>in $millions</v>
      </c>
      <c r="L3" s="236" t="str">
        <f>IF('Data From SEC'!L14=1000000,"in $millions",IF('Data From SEC'!L14=1000,"in $thousands",""))</f>
        <v>in $millions</v>
      </c>
      <c r="M3" s="177"/>
      <c r="N3" s="388" t="s">
        <v>98</v>
      </c>
      <c r="O3" s="389"/>
      <c r="P3" s="389"/>
      <c r="Q3" s="389"/>
      <c r="R3" s="390"/>
      <c r="S3" s="176"/>
      <c r="T3" s="418" t="s">
        <v>98</v>
      </c>
      <c r="U3" s="419"/>
      <c r="V3" s="419"/>
      <c r="W3" s="419"/>
      <c r="X3" s="420"/>
      <c r="Y3" s="209"/>
      <c r="Z3" s="210"/>
      <c r="AA3" s="210"/>
      <c r="AB3" s="210"/>
      <c r="AC3" s="211"/>
      <c r="AD3" s="283"/>
      <c r="AE3" s="228"/>
      <c r="AF3" s="229"/>
      <c r="AG3" s="229"/>
      <c r="AH3" s="229"/>
      <c r="AI3" s="230"/>
      <c r="AJ3" s="403" t="s">
        <v>99</v>
      </c>
      <c r="AK3" s="404"/>
      <c r="AL3" s="404"/>
      <c r="AM3" s="404"/>
      <c r="AN3" s="405"/>
      <c r="AO3" s="176"/>
      <c r="AP3" s="406" t="s">
        <v>99</v>
      </c>
      <c r="AQ3" s="407"/>
      <c r="AR3" s="407"/>
      <c r="AS3" s="407"/>
      <c r="AT3" s="408"/>
    </row>
    <row r="4" spans="1:46" ht="19" thickBot="1" x14ac:dyDescent="0.25">
      <c r="A4" s="378"/>
      <c r="B4" s="203">
        <f>CurrentYear</f>
        <v>2015</v>
      </c>
      <c r="C4" s="204">
        <f>CurrentYear-1</f>
        <v>2014</v>
      </c>
      <c r="D4" s="204">
        <f>CurrentYear-2</f>
        <v>2013</v>
      </c>
      <c r="E4" s="204">
        <f>CurrentYear-3</f>
        <v>2012</v>
      </c>
      <c r="F4" s="205">
        <f>CurrentYear-4</f>
        <v>2011</v>
      </c>
      <c r="G4" s="55"/>
      <c r="H4" s="206">
        <f>CurrentYear</f>
        <v>2015</v>
      </c>
      <c r="I4" s="207">
        <f>CurrentYear-1</f>
        <v>2014</v>
      </c>
      <c r="J4" s="207">
        <f>CurrentYear-2</f>
        <v>2013</v>
      </c>
      <c r="K4" s="207">
        <f>CurrentYear-3</f>
        <v>2012</v>
      </c>
      <c r="L4" s="208">
        <f>CurrentYear-4</f>
        <v>2011</v>
      </c>
      <c r="M4" s="56"/>
      <c r="N4" s="213">
        <f>CurrentYear</f>
        <v>2015</v>
      </c>
      <c r="O4" s="214">
        <f>CurrentYear-1</f>
        <v>2014</v>
      </c>
      <c r="P4" s="214">
        <f>CurrentYear-2</f>
        <v>2013</v>
      </c>
      <c r="Q4" s="214">
        <f>CurrentYear-3</f>
        <v>2012</v>
      </c>
      <c r="R4" s="215">
        <f>CurrentYear-4</f>
        <v>2011</v>
      </c>
      <c r="S4" s="212"/>
      <c r="T4" s="216">
        <f>CurrentYear</f>
        <v>2015</v>
      </c>
      <c r="U4" s="217">
        <f>CurrentYear-1</f>
        <v>2014</v>
      </c>
      <c r="V4" s="217">
        <f>CurrentYear-2</f>
        <v>2013</v>
      </c>
      <c r="W4" s="217">
        <f>CurrentYear-3</f>
        <v>2012</v>
      </c>
      <c r="X4" s="218">
        <f>CurrentYear-4</f>
        <v>2011</v>
      </c>
      <c r="Y4" s="219">
        <f>CurrentYear</f>
        <v>2015</v>
      </c>
      <c r="Z4" s="220">
        <f>CurrentYear-1</f>
        <v>2014</v>
      </c>
      <c r="AA4" s="220">
        <f>CurrentYear-2</f>
        <v>2013</v>
      </c>
      <c r="AB4" s="220">
        <f>CurrentYear-3</f>
        <v>2012</v>
      </c>
      <c r="AC4" s="221">
        <f>CurrentYear-4</f>
        <v>2011</v>
      </c>
      <c r="AD4" s="284"/>
      <c r="AE4" s="231">
        <f>CurrentYear</f>
        <v>2015</v>
      </c>
      <c r="AF4" s="232">
        <f>CurrentYear-1</f>
        <v>2014</v>
      </c>
      <c r="AG4" s="232">
        <f>CurrentYear-2</f>
        <v>2013</v>
      </c>
      <c r="AH4" s="232">
        <f>CurrentYear-3</f>
        <v>2012</v>
      </c>
      <c r="AI4" s="233">
        <f>CurrentYear-4</f>
        <v>2011</v>
      </c>
      <c r="AJ4" s="222">
        <f>CurrentYear</f>
        <v>2015</v>
      </c>
      <c r="AK4" s="223">
        <f>CurrentYear-1</f>
        <v>2014</v>
      </c>
      <c r="AL4" s="223">
        <f>CurrentYear-2</f>
        <v>2013</v>
      </c>
      <c r="AM4" s="223">
        <f>CurrentYear-3</f>
        <v>2012</v>
      </c>
      <c r="AN4" s="224">
        <f>CurrentYear-4</f>
        <v>2011</v>
      </c>
      <c r="AO4" s="212"/>
      <c r="AP4" s="225">
        <f>CurrentYear</f>
        <v>2015</v>
      </c>
      <c r="AQ4" s="226">
        <f>CurrentYear-1</f>
        <v>2014</v>
      </c>
      <c r="AR4" s="226">
        <f>CurrentYear-2</f>
        <v>2013</v>
      </c>
      <c r="AS4" s="226">
        <f>CurrentYear-3</f>
        <v>2012</v>
      </c>
      <c r="AT4" s="227">
        <f>CurrentYear-4</f>
        <v>2011</v>
      </c>
    </row>
    <row r="5" spans="1:46" ht="17" thickTop="1" x14ac:dyDescent="0.2">
      <c r="A5" s="240" t="s">
        <v>3</v>
      </c>
      <c r="B5" s="9"/>
      <c r="C5" s="9"/>
      <c r="D5" s="9"/>
      <c r="E5" s="9"/>
      <c r="F5" s="9"/>
      <c r="G5" s="243"/>
      <c r="H5" s="9"/>
      <c r="I5" s="9"/>
      <c r="J5" s="9"/>
      <c r="K5" s="9"/>
      <c r="L5" s="9"/>
      <c r="M5" s="257"/>
      <c r="N5" s="184"/>
      <c r="O5" s="184"/>
      <c r="P5" s="184"/>
      <c r="Q5" s="184"/>
      <c r="R5" s="184"/>
      <c r="S5" s="273"/>
      <c r="T5" s="184"/>
      <c r="U5" s="184"/>
      <c r="V5" s="184"/>
      <c r="W5" s="184"/>
      <c r="X5" s="186"/>
      <c r="Y5" s="187"/>
      <c r="Z5" s="188"/>
      <c r="AA5" s="188"/>
      <c r="AB5" s="188"/>
      <c r="AC5" s="188"/>
      <c r="AD5" s="289"/>
      <c r="AE5" s="190"/>
      <c r="AF5" s="188"/>
      <c r="AG5" s="188"/>
      <c r="AH5" s="188"/>
      <c r="AI5" s="189"/>
      <c r="AL5" s="15"/>
    </row>
    <row r="6" spans="1:46" x14ac:dyDescent="0.15">
      <c r="A6" s="57" t="s">
        <v>5</v>
      </c>
      <c r="B6" s="306">
        <f>'Data From SEC'!B24</f>
        <v>971098</v>
      </c>
      <c r="C6" s="306">
        <f>'Data From SEC'!C24</f>
        <v>1164304</v>
      </c>
      <c r="D6" s="306">
        <f>'Data From SEC'!D24</f>
        <v>1344523</v>
      </c>
      <c r="E6" s="306">
        <f>'Data From SEC'!E24</f>
        <v>1238273</v>
      </c>
      <c r="F6" s="306">
        <f>'Data From SEC'!F24</f>
        <v>1175500</v>
      </c>
      <c r="G6" s="244"/>
      <c r="H6" s="306">
        <f>'Data From SEC'!H24</f>
        <v>10780.4</v>
      </c>
      <c r="I6" s="306">
        <f>'Data From SEC'!I24</f>
        <v>10968.8</v>
      </c>
      <c r="J6" s="306">
        <f>'Data From SEC'!J24</f>
        <v>10181.700000000001</v>
      </c>
      <c r="K6" s="306">
        <f>'Data From SEC'!K24</f>
        <v>9713.6</v>
      </c>
      <c r="L6" s="306">
        <f>'Data From SEC'!L24</f>
        <v>8810</v>
      </c>
      <c r="M6" s="270"/>
      <c r="N6" s="185">
        <f>IF(ISERROR(B6/B$6),"",B6/B$6)</f>
        <v>1</v>
      </c>
      <c r="O6" s="185">
        <f t="shared" ref="O6:O18" si="0">IF(ISERROR(C6/C$6),"",C6/C$6)</f>
        <v>1</v>
      </c>
      <c r="P6" s="185">
        <f t="shared" ref="P6:P18" si="1">IF(ISERROR(D6/D$6),"",D6/D$6)</f>
        <v>1</v>
      </c>
      <c r="Q6" s="185">
        <f t="shared" ref="Q6:Q18" si="2">IF(ISERROR(E6/E$6),"",E6/E$6)</f>
        <v>1</v>
      </c>
      <c r="R6" s="185">
        <f t="shared" ref="R6:R18" si="3">IF(ISERROR(F6/F$6),"",F6/F$6)</f>
        <v>1</v>
      </c>
      <c r="S6" s="273"/>
      <c r="T6" s="185">
        <f t="shared" ref="T6:T18" si="4">IF(ISERROR(H6/H$6),"",H6/H$6)</f>
        <v>1</v>
      </c>
      <c r="U6" s="185">
        <f t="shared" ref="U6:U18" si="5">IF(ISERROR(I6/I$6),"",I6/I$6)</f>
        <v>1</v>
      </c>
      <c r="V6" s="185">
        <f t="shared" ref="V6:V18" si="6">IF(ISERROR(J6/J$6),"",J6/J$6)</f>
        <v>1</v>
      </c>
      <c r="W6" s="185">
        <f t="shared" ref="W6:W18" si="7">IF(ISERROR(K6/K$6),"",K6/K$6)</f>
        <v>1</v>
      </c>
      <c r="X6" s="185">
        <f t="shared" ref="X6:X18" si="8">IF(ISERROR(L6/L$6),"",L6/L$6)</f>
        <v>1</v>
      </c>
      <c r="Y6" s="73">
        <f>IF(ISERROR((B6-C6)/C6),"",IF(B$3=C$3,(B6-C6)/C6,B6*('Data From SEC'!B$14/'Data From SEC'!C$14)/C6-1))</f>
        <v>-0.16594119748794128</v>
      </c>
      <c r="Z6" s="74">
        <f>IF(ISERROR((C6-D6)/D6),"",IF(C$3=D$3,(C6-D6)/D6,C6*('Data From SEC'!C$14/'Data From SEC'!D$14)/D6-1))</f>
        <v>-0.13403935819617813</v>
      </c>
      <c r="AA6" s="74">
        <f>IF(ISERROR((D6-E6)/E6),"",IF(D$3=E$3,(D6-E6)/E6,D6*('Data From SEC'!D$14/'Data From SEC'!E$14)/E6-1))</f>
        <v>8.5804988076135069E-2</v>
      </c>
      <c r="AB6" s="74">
        <f>IF(ISERROR((E6-F6)/F6),"",IF(E$3=F$3,(E6-F6)/F6,E6*('Data From SEC'!E$14/'Data From SEC'!F$14)/F6-1))</f>
        <v>5.3401105912377712E-2</v>
      </c>
      <c r="AC6" s="74" t="str">
        <f>IF(ISERROR((F6-G6)/G6),"",IF(F$3=G$4,(F6-G6)/G6,F6*('Data From SEC'!F$14/'Data From SEC'!G$14)/G6-1))</f>
        <v/>
      </c>
      <c r="AD6" s="290"/>
      <c r="AE6" s="75">
        <f>IF(ISERROR((H6-I6)/I6),"",IF(H$3=I$3,(H6-I6)/I6,H6*('Data From SEC'!H$14/'Data From SEC'!I$14)/I6-1))</f>
        <v>-1.7175990080956865E-2</v>
      </c>
      <c r="AF6" s="74">
        <f>IF(ISERROR((I6-J6)/J6),"",IF(I$3=J$3,(I6-J6)/J6,I6*('Data From SEC'!I$14/'Data From SEC'!J$14)/J6-1))</f>
        <v>7.7305361580089618E-2</v>
      </c>
      <c r="AG6" s="74">
        <f>IF(ISERROR((J6-K6)/K6),"",IF(J$3=K$3,(J6-K6)/K6,J6*('Data From SEC'!J$14/'Data From SEC'!K$14)/K6-1))</f>
        <v>4.8190166364684602E-2</v>
      </c>
      <c r="AH6" s="74">
        <f>IF(ISERROR((K6-L6)/L6),"",IF(K$3=L$3,(K6-L6)/L6,K6*('Data From SEC'!K$14/'Data From SEC'!L$14)/L6-1))</f>
        <v>0.10256526674233829</v>
      </c>
      <c r="AI6" s="22" t="str">
        <f>IF(ISERROR((L6-M6)/M6),"",IF(L$3=M$4,(L6-M6)/M6,L6*('Data From SEC'!L$14/'Data From SEC'!M$14)/M6-1))</f>
        <v/>
      </c>
      <c r="AL6" s="15"/>
    </row>
    <row r="7" spans="1:46" x14ac:dyDescent="0.15">
      <c r="A7" s="57" t="s">
        <v>6</v>
      </c>
      <c r="B7" s="306">
        <f>'Data From SEC'!B28</f>
        <v>622446</v>
      </c>
      <c r="C7" s="306">
        <f>'Data From SEC'!C28</f>
        <v>694648</v>
      </c>
      <c r="D7" s="306">
        <f>'Data From SEC'!D28</f>
        <v>715730</v>
      </c>
      <c r="E7" s="306">
        <f>'Data From SEC'!E28</f>
        <v>629242</v>
      </c>
      <c r="F7" s="306">
        <f>'Data From SEC'!F28</f>
        <v>619223</v>
      </c>
      <c r="G7" s="244"/>
      <c r="H7" s="306">
        <f>'Data From SEC'!H25</f>
        <v>2100.6</v>
      </c>
      <c r="I7" s="306">
        <f>'Data From SEC'!I25</f>
        <v>2158.1999999999998</v>
      </c>
      <c r="J7" s="306">
        <f>'Data From SEC'!J25</f>
        <v>2025.9</v>
      </c>
      <c r="K7" s="306">
        <f>'Data From SEC'!K25</f>
        <v>1995.8</v>
      </c>
      <c r="L7" s="306">
        <f>'Data From SEC'!L25</f>
        <v>1936.9</v>
      </c>
      <c r="M7" s="270"/>
      <c r="N7" s="72">
        <f t="shared" ref="N7:N18" si="9">IF(ISERROR(B7/B$6),"",B7/B$6)</f>
        <v>0.64097135407548977</v>
      </c>
      <c r="O7" s="72">
        <f t="shared" si="0"/>
        <v>0.59662081380807763</v>
      </c>
      <c r="P7" s="72">
        <f t="shared" si="1"/>
        <v>0.53233005311177273</v>
      </c>
      <c r="Q7" s="72">
        <f t="shared" si="2"/>
        <v>0.50816096288944357</v>
      </c>
      <c r="R7" s="72">
        <f t="shared" si="3"/>
        <v>0.52677413866439815</v>
      </c>
      <c r="S7" s="273"/>
      <c r="T7" s="72">
        <f t="shared" si="4"/>
        <v>0.19485362324218025</v>
      </c>
      <c r="U7" s="72">
        <f t="shared" si="5"/>
        <v>0.19675807745605717</v>
      </c>
      <c r="V7" s="72">
        <f t="shared" si="6"/>
        <v>0.19897463095553788</v>
      </c>
      <c r="W7" s="72">
        <f t="shared" si="7"/>
        <v>0.20546450337670893</v>
      </c>
      <c r="X7" s="72">
        <f t="shared" si="8"/>
        <v>0.21985244040862656</v>
      </c>
      <c r="Y7" s="73">
        <f>IF(ISERROR((B7-C7)/C7),"",IF(B$3=C$3,(B7-C7)/C7,B7*('Data From SEC'!B$14/'Data From SEC'!C$14)/C7-1))</f>
        <v>-0.10394041298614549</v>
      </c>
      <c r="Z7" s="74">
        <f>IF(ISERROR((C7-D7)/D7),"",IF(C$3=D$3,(C7-D7)/D7,C7*('Data From SEC'!C$14/'Data From SEC'!D$14)/D7-1))</f>
        <v>-2.9455241501683598E-2</v>
      </c>
      <c r="AA7" s="74">
        <f>IF(ISERROR((D7-E7)/E7),"",IF(D$3=E$3,(D7-E7)/E7,D7*('Data From SEC'!D$14/'Data From SEC'!E$14)/E7-1))</f>
        <v>0.13744791352134791</v>
      </c>
      <c r="AB7" s="74">
        <f>IF(ISERROR((E7-F7)/F7),"",IF(E$3=F$3,(E7-F7)/F7,E7*('Data From SEC'!E$14/'Data From SEC'!F$14)/F7-1))</f>
        <v>1.6179954555951573E-2</v>
      </c>
      <c r="AC7" s="74" t="str">
        <f>IF(ISERROR((F7-G7)/G7),"",IF(F$3=G$4,(F7-G7)/G7,F7*('Data From SEC'!F$14/'Data From SEC'!G$14)/G7-1))</f>
        <v/>
      </c>
      <c r="AD7" s="290"/>
      <c r="AE7" s="75">
        <f>IF(ISERROR((H7-I7)/I7),"",IF(H$3=I$3,(H7-I7)/I7,H7*('Data From SEC'!H$14/'Data From SEC'!I$14)/I7-1))</f>
        <v>-2.6688907422852338E-2</v>
      </c>
      <c r="AF7" s="74">
        <f>IF(ISERROR((I7-J7)/J7),"",IF(I$3=J$3,(I7-J7)/J7,I7*('Data From SEC'!I$14/'Data From SEC'!J$14)/J7-1))</f>
        <v>6.5304309195912791E-2</v>
      </c>
      <c r="AG7" s="74">
        <f>IF(ISERROR((J7-K7)/K7),"",IF(J$3=K$3,(J7-K7)/K7,J7*('Data From SEC'!J$14/'Data From SEC'!K$14)/K7-1))</f>
        <v>1.5081671510171429E-2</v>
      </c>
      <c r="AH7" s="74">
        <f>IF(ISERROR((K7-L7)/L7),"",IF(K$3=L$3,(K7-L7)/L7,K7*('Data From SEC'!K$14/'Data From SEC'!L$14)/L7-1))</f>
        <v>3.0409417109814582E-2</v>
      </c>
      <c r="AI7" s="22" t="str">
        <f>IF(ISERROR((L7-M7)/M7),"",IF(L$3=M$4,(L7-M7)/M7,L7*('Data From SEC'!L$14/'Data From SEC'!M$14)/M7-1))</f>
        <v/>
      </c>
      <c r="AL7" s="15"/>
    </row>
    <row r="8" spans="1:46" x14ac:dyDescent="0.15">
      <c r="A8" s="57" t="s">
        <v>7</v>
      </c>
      <c r="B8" s="306">
        <f>'Data From SEC'!B31</f>
        <v>497004</v>
      </c>
      <c r="C8" s="306">
        <f>'Data From SEC'!C31</f>
        <v>489803</v>
      </c>
      <c r="D8" s="306">
        <f>'Data From SEC'!D31</f>
        <v>517250</v>
      </c>
      <c r="E8" s="306">
        <f>'Data From SEC'!E31</f>
        <v>484963</v>
      </c>
      <c r="F8" s="306">
        <f>'Data From SEC'!F31</f>
        <v>453956</v>
      </c>
      <c r="G8" s="244"/>
      <c r="H8" s="306">
        <f>'Data From SEC'!H28</f>
        <v>7073.5</v>
      </c>
      <c r="I8" s="306">
        <f>'Data From SEC'!I28</f>
        <v>6985.9</v>
      </c>
      <c r="J8" s="306">
        <f>'Data From SEC'!J28</f>
        <v>6597</v>
      </c>
      <c r="K8" s="306">
        <f>'Data From SEC'!K28</f>
        <v>6324.8</v>
      </c>
      <c r="L8" s="306">
        <f>'Data From SEC'!L28</f>
        <v>5696.7</v>
      </c>
      <c r="M8" s="270"/>
      <c r="N8" s="72">
        <f t="shared" si="9"/>
        <v>0.51179592584888445</v>
      </c>
      <c r="O8" s="72">
        <f t="shared" si="0"/>
        <v>0.42068308620429029</v>
      </c>
      <c r="P8" s="72">
        <f t="shared" si="1"/>
        <v>0.38470892651148397</v>
      </c>
      <c r="Q8" s="72">
        <f t="shared" si="2"/>
        <v>0.39164465348109828</v>
      </c>
      <c r="R8" s="72">
        <f t="shared" si="3"/>
        <v>0.38618119948957891</v>
      </c>
      <c r="S8" s="273"/>
      <c r="T8" s="72">
        <f t="shared" si="4"/>
        <v>0.65614448443471485</v>
      </c>
      <c r="U8" s="72">
        <f t="shared" si="5"/>
        <v>0.63688826489679817</v>
      </c>
      <c r="V8" s="72">
        <f t="shared" si="6"/>
        <v>0.64792716344028989</v>
      </c>
      <c r="W8" s="72">
        <f t="shared" si="7"/>
        <v>0.65112831493987811</v>
      </c>
      <c r="X8" s="72">
        <f t="shared" si="8"/>
        <v>0.64661748013620879</v>
      </c>
      <c r="Y8" s="73">
        <f>IF(ISERROR((B8-C8)/C8),"",IF(B$3=C$3,(B8-C8)/C8,B8*('Data From SEC'!B$14/'Data From SEC'!C$14)/C8-1))</f>
        <v>1.470182910272089E-2</v>
      </c>
      <c r="Z8" s="74">
        <f>IF(ISERROR((C8-D8)/D8),"",IF(C$3=D$3,(C8-D8)/D8,C8*('Data From SEC'!C$14/'Data From SEC'!D$14)/D8-1))</f>
        <v>-5.3063315611406474E-2</v>
      </c>
      <c r="AA8" s="74">
        <f>IF(ISERROR((D8-E8)/E8),"",IF(D$3=E$3,(D8-E8)/E8,D8*('Data From SEC'!D$14/'Data From SEC'!E$14)/E8-1))</f>
        <v>6.6576213030684811E-2</v>
      </c>
      <c r="AB8" s="74">
        <f>IF(ISERROR((E8-F8)/F8),"",IF(E$3=F$3,(E8-F8)/F8,E8*('Data From SEC'!E$14/'Data From SEC'!F$14)/F8-1))</f>
        <v>6.8303976596850793E-2</v>
      </c>
      <c r="AC8" s="74" t="str">
        <f>IF(ISERROR((F8-G8)/G8),"",IF(F$3=G$4,(F8-G8)/G8,F8*('Data From SEC'!F$14/'Data From SEC'!G$14)/G8-1))</f>
        <v/>
      </c>
      <c r="AD8" s="290"/>
      <c r="AE8" s="75">
        <f>IF(ISERROR((H8-I8)/I8),"",IF(H$3=I$3,(H8-I8)/I8,H8*('Data From SEC'!H$14/'Data From SEC'!I$14)/I8-1))</f>
        <v>1.2539543938504755E-2</v>
      </c>
      <c r="AF8" s="74">
        <f>IF(ISERROR((I8-J8)/J8),"",IF(I$3=J$3,(I8-J8)/J8,I8*('Data From SEC'!I$14/'Data From SEC'!J$14)/J8-1))</f>
        <v>5.8951038350765442E-2</v>
      </c>
      <c r="AG8" s="74">
        <f>IF(ISERROR((J8-K8)/K8),"",IF(J$3=K$3,(J8-K8)/K8,J8*('Data From SEC'!J$14/'Data From SEC'!K$14)/K8-1))</f>
        <v>4.3036933974196785E-2</v>
      </c>
      <c r="AH8" s="74">
        <f>IF(ISERROR((K8-L8)/L8),"",IF(K$3=L$3,(K8-L8)/L8,K8*('Data From SEC'!K$14/'Data From SEC'!L$14)/L8-1))</f>
        <v>0.11025681534923734</v>
      </c>
      <c r="AI8" s="22" t="str">
        <f>IF(ISERROR((L8-M8)/M8),"",IF(L$3=M$4,(L8-M8)/M8,L8*('Data From SEC'!L$14/'Data From SEC'!M$14)/M8-1))</f>
        <v/>
      </c>
      <c r="AL8" s="15"/>
    </row>
    <row r="9" spans="1:46" x14ac:dyDescent="0.15">
      <c r="A9" s="58" t="s">
        <v>8</v>
      </c>
      <c r="B9" s="307">
        <f>'Data From SEC'!B32</f>
        <v>40773</v>
      </c>
      <c r="C9" s="307">
        <f>'Data From SEC'!C32</f>
        <v>44392</v>
      </c>
      <c r="D9" s="307">
        <f>'Data From SEC'!D32</f>
        <v>39583</v>
      </c>
      <c r="E9" s="307">
        <f>'Data From SEC'!E32</f>
        <v>28797</v>
      </c>
      <c r="F9" s="307">
        <f>'Data From SEC'!F32</f>
        <v>24746</v>
      </c>
      <c r="G9" s="245"/>
      <c r="H9" s="306">
        <f>'Data From SEC'!H29+'Data From SEC'!H30+'Data From SEC'!H31</f>
        <v>0</v>
      </c>
      <c r="I9" s="306">
        <f>'Data From SEC'!I29+'Data From SEC'!I30+'Data From SEC'!I31</f>
        <v>-2.9</v>
      </c>
      <c r="J9" s="306">
        <f>'Data From SEC'!J29+'Data From SEC'!J30+'Data From SEC'!J31</f>
        <v>32.799999999999997</v>
      </c>
      <c r="K9" s="306">
        <f>'Data From SEC'!K29+'Data From SEC'!K30+'Data From SEC'!K31</f>
        <v>81.3</v>
      </c>
      <c r="L9" s="306">
        <f>'Data From SEC'!L29+'Data From SEC'!L30+'Data From SEC'!L31</f>
        <v>87</v>
      </c>
      <c r="M9" s="244"/>
      <c r="N9" s="76">
        <f t="shared" si="9"/>
        <v>4.1986493639158975E-2</v>
      </c>
      <c r="O9" s="76">
        <f t="shared" si="0"/>
        <v>3.8127499347249516E-2</v>
      </c>
      <c r="P9" s="76">
        <f t="shared" si="1"/>
        <v>2.9440180643990472E-2</v>
      </c>
      <c r="Q9" s="76">
        <f t="shared" si="2"/>
        <v>2.3255776391797284E-2</v>
      </c>
      <c r="R9" s="76">
        <f t="shared" si="3"/>
        <v>2.1051467460655039E-2</v>
      </c>
      <c r="S9" s="274"/>
      <c r="T9" s="76">
        <f t="shared" si="4"/>
        <v>0</v>
      </c>
      <c r="U9" s="76">
        <f t="shared" si="5"/>
        <v>-2.6438625920793525E-4</v>
      </c>
      <c r="V9" s="76">
        <f t="shared" si="6"/>
        <v>3.2214659634442182E-3</v>
      </c>
      <c r="W9" s="76">
        <f t="shared" si="7"/>
        <v>8.3697084500082355E-3</v>
      </c>
      <c r="X9" s="76">
        <f t="shared" si="8"/>
        <v>9.8751418842224752E-3</v>
      </c>
      <c r="Y9" s="77">
        <f>IF(ISERROR((B9-C9)/C9),"",IF(B$3=C$3,(B9-C9)/C9,B9*('Data From SEC'!B$14/'Data From SEC'!C$14)/C9-1))</f>
        <v>-8.1523697963597042E-2</v>
      </c>
      <c r="Z9" s="78">
        <f>IF(ISERROR((C9-D9)/D9),"",IF(C$3=D$3,(C9-D9)/D9,C9*('Data From SEC'!C$14/'Data From SEC'!D$14)/D9-1))</f>
        <v>0.12149154940252128</v>
      </c>
      <c r="AA9" s="78">
        <f>IF(ISERROR((D9-E9)/E9),"",IF(D$3=E$3,(D9-E9)/E9,D9*('Data From SEC'!D$14/'Data From SEC'!E$14)/E9-1))</f>
        <v>0.37455290481647396</v>
      </c>
      <c r="AB9" s="78">
        <f>IF(ISERROR((E9-F9)/F9),"",IF(E$3=F$3,(E9-F9)/F9,E9*('Data From SEC'!E$14/'Data From SEC'!F$14)/F9-1))</f>
        <v>0.16370322476359817</v>
      </c>
      <c r="AC9" s="78" t="str">
        <f>IF(ISERROR((F9-G9)/G9),"",IF(F$3=G$4,(F9-G9)/G9,F9*('Data From SEC'!F$14/'Data From SEC'!G$14)/G9-1))</f>
        <v/>
      </c>
      <c r="AD9" s="291"/>
      <c r="AE9" s="79">
        <f>IF(ISERROR((H9-I9)/I9),"",IF(H$3=I$3,(H9-I9)/I9,H9*('Data From SEC'!H$14/'Data From SEC'!I$14)/I9-1))</f>
        <v>-1</v>
      </c>
      <c r="AF9" s="78">
        <f>IF(ISERROR((I9-J9)/J9),"",IF(I$3=J$3,(I9-J9)/J9,I9*('Data From SEC'!I$14/'Data From SEC'!J$14)/J9-1))</f>
        <v>-1.0884146341463414</v>
      </c>
      <c r="AG9" s="78">
        <f>IF(ISERROR((J9-K9)/K9),"",IF(J$3=K$3,(J9-K9)/K9,J9*('Data From SEC'!J$14/'Data From SEC'!K$14)/K9-1))</f>
        <v>-0.59655596555965562</v>
      </c>
      <c r="AH9" s="78">
        <f>IF(ISERROR((K9-L9)/L9),"",IF(K$3=L$3,(K9-L9)/L9,K9*('Data From SEC'!K$14/'Data From SEC'!L$14)/L9-1))</f>
        <v>-6.5517241379310379E-2</v>
      </c>
      <c r="AI9" s="23" t="str">
        <f>IF(ISERROR((L9-M9)/M9),"",IF(L$3=M$4,(L9-M9)/M9,L9*('Data From SEC'!L$14/'Data From SEC'!M$14)/M9-1))</f>
        <v/>
      </c>
      <c r="AL9" s="15"/>
    </row>
    <row r="10" spans="1:46" x14ac:dyDescent="0.15">
      <c r="A10" s="58" t="s">
        <v>107</v>
      </c>
      <c r="B10" s="308">
        <f>COGS+OperatingExpenses+Depreciation</f>
        <v>1160223</v>
      </c>
      <c r="C10" s="308">
        <f>COGS+OperatingExpenses+Depreciation</f>
        <v>1228843</v>
      </c>
      <c r="D10" s="308">
        <f>COGS+OperatingExpenses+Depreciation</f>
        <v>1272563</v>
      </c>
      <c r="E10" s="308">
        <f>COGS+OperatingExpenses+Depreciation</f>
        <v>1143002</v>
      </c>
      <c r="F10" s="308">
        <f>COGS+OperatingExpenses+Depreciation</f>
        <v>1097925</v>
      </c>
      <c r="G10" s="246"/>
      <c r="H10" s="308">
        <f>COGS+OperatingExpenses+Depreciation</f>
        <v>9174.1</v>
      </c>
      <c r="I10" s="308">
        <f>COGS+OperatingExpenses+Depreciation</f>
        <v>9141.1999999999989</v>
      </c>
      <c r="J10" s="308">
        <f>COGS+OperatingExpenses+Depreciation</f>
        <v>8655.6999999999989</v>
      </c>
      <c r="K10" s="308">
        <f>COGS+OperatingExpenses+Depreciation</f>
        <v>8401.9</v>
      </c>
      <c r="L10" s="308">
        <f>COGS+OperatingExpenses+Depreciation</f>
        <v>7720.6</v>
      </c>
      <c r="M10" s="270"/>
      <c r="N10" s="72">
        <f t="shared" si="9"/>
        <v>1.1947537735635332</v>
      </c>
      <c r="O10" s="72">
        <f t="shared" si="0"/>
        <v>1.0554313993596174</v>
      </c>
      <c r="P10" s="72">
        <f t="shared" si="1"/>
        <v>0.94647916026724721</v>
      </c>
      <c r="Q10" s="72">
        <f t="shared" si="2"/>
        <v>0.92306139276233912</v>
      </c>
      <c r="R10" s="72">
        <f t="shared" si="3"/>
        <v>0.93400680561463212</v>
      </c>
      <c r="S10" s="273"/>
      <c r="T10" s="72">
        <f t="shared" si="4"/>
        <v>0.85099810767689521</v>
      </c>
      <c r="U10" s="72">
        <f t="shared" si="5"/>
        <v>0.8333819560936474</v>
      </c>
      <c r="V10" s="72">
        <f t="shared" si="6"/>
        <v>0.85012326035927188</v>
      </c>
      <c r="W10" s="72">
        <f t="shared" si="7"/>
        <v>0.86496252676659524</v>
      </c>
      <c r="X10" s="72">
        <f t="shared" si="8"/>
        <v>0.87634506242905796</v>
      </c>
      <c r="Y10" s="73">
        <f>IF(ISERROR((B10-C10)/C10),"",IF(B$3=C$3,(B10-C10)/C10,B10*('Data From SEC'!B$14/'Data From SEC'!C$14)/C10-1))</f>
        <v>-5.5841144881811591E-2</v>
      </c>
      <c r="Z10" s="74">
        <f>IF(ISERROR((C10-D10)/D10),"",IF(C$3=D$3,(C10-D10)/D10,C10*('Data From SEC'!C$14/'Data From SEC'!D$14)/D10-1))</f>
        <v>-3.4355862931736973E-2</v>
      </c>
      <c r="AA10" s="74">
        <f>IF(ISERROR((D10-E10)/E10),"",IF(D$3=E$3,(D10-E10)/E10,D10*('Data From SEC'!D$14/'Data From SEC'!E$14)/E10-1))</f>
        <v>0.11335150769639948</v>
      </c>
      <c r="AB10" s="74">
        <f>IF(ISERROR((E10-F10)/F10),"",IF(E$3=F$3,(E10-F10)/F10,E10*('Data From SEC'!E$14/'Data From SEC'!F$14)/F10-1))</f>
        <v>4.1056538470296243E-2</v>
      </c>
      <c r="AC10" s="74" t="str">
        <f>IF(ISERROR((F10-G10)/G10),"",IF(F$3=G$4,(F10-G10)/G10,F10*('Data From SEC'!F$14/'Data From SEC'!G$14)/G10-1))</f>
        <v/>
      </c>
      <c r="AD10" s="290"/>
      <c r="AE10" s="75">
        <f>IF(ISERROR((H10-I10)/I10),"",IF(H$3=I$3,(H10-I10)/I10,H10*('Data From SEC'!H$14/'Data From SEC'!I$14)/I10-1))</f>
        <v>3.5990898350327593E-3</v>
      </c>
      <c r="AF10" s="74">
        <f>IF(ISERROR((I10-J10)/J10),"",IF(I$3=J$3,(I10-J10)/J10,I10*('Data From SEC'!I$14/'Data From SEC'!J$14)/J10-1))</f>
        <v>5.6090206453550846E-2</v>
      </c>
      <c r="AG10" s="74">
        <f>IF(ISERROR((J10-K10)/K10),"",IF(J$3=K$3,(J10-K10)/K10,J10*('Data From SEC'!J$14/'Data From SEC'!K$14)/K10-1))</f>
        <v>3.0207453076089848E-2</v>
      </c>
      <c r="AH10" s="74">
        <f>IF(ISERROR((K10-L10)/L10),"",IF(K$3=L$3,(K10-L10)/L10,K10*('Data From SEC'!K$14/'Data From SEC'!L$14)/L10-1))</f>
        <v>8.8244436960857861E-2</v>
      </c>
      <c r="AI10" s="22" t="str">
        <f>IF(ISERROR((L10-M10)/M10),"",IF(L$3=M$4,(L10-M10)/M10,L10*('Data From SEC'!L$14/'Data From SEC'!M$14)/M10-1))</f>
        <v/>
      </c>
      <c r="AL10" s="15"/>
    </row>
    <row r="11" spans="1:46" x14ac:dyDescent="0.15">
      <c r="A11" s="57" t="s">
        <v>9</v>
      </c>
      <c r="B11" s="308">
        <f>Sales-TotalOperatingExpense</f>
        <v>-189125</v>
      </c>
      <c r="C11" s="308">
        <f>Sales-TotalOperatingExpense</f>
        <v>-64539</v>
      </c>
      <c r="D11" s="308">
        <f>Sales-TotalOperatingExpense</f>
        <v>71960</v>
      </c>
      <c r="E11" s="308">
        <f>Sales-TotalOperatingExpense</f>
        <v>95271</v>
      </c>
      <c r="F11" s="308">
        <f>Sales-TotalOperatingExpense</f>
        <v>77575</v>
      </c>
      <c r="G11" s="246"/>
      <c r="H11" s="308">
        <f>Sales-TotalOperatingExpense</f>
        <v>1606.2999999999993</v>
      </c>
      <c r="I11" s="308">
        <f>Sales-TotalOperatingExpense</f>
        <v>1827.6000000000004</v>
      </c>
      <c r="J11" s="308">
        <f>Sales-TotalOperatingExpense</f>
        <v>1526.0000000000018</v>
      </c>
      <c r="K11" s="308">
        <f>Sales-TotalOperatingExpense</f>
        <v>1311.7000000000007</v>
      </c>
      <c r="L11" s="308">
        <f>Sales-TotalOperatingExpense</f>
        <v>1089.3999999999996</v>
      </c>
      <c r="M11" s="270"/>
      <c r="N11" s="72">
        <f t="shared" si="9"/>
        <v>-0.19475377356353324</v>
      </c>
      <c r="O11" s="72">
        <f t="shared" si="0"/>
        <v>-5.5431399359617418E-2</v>
      </c>
      <c r="P11" s="72">
        <f t="shared" si="1"/>
        <v>5.3520839732752803E-2</v>
      </c>
      <c r="Q11" s="72">
        <f t="shared" si="2"/>
        <v>7.6938607237660842E-2</v>
      </c>
      <c r="R11" s="72">
        <f t="shared" si="3"/>
        <v>6.5993194385367923E-2</v>
      </c>
      <c r="S11" s="273"/>
      <c r="T11" s="72">
        <f t="shared" si="4"/>
        <v>0.14900189232310485</v>
      </c>
      <c r="U11" s="72">
        <f t="shared" si="5"/>
        <v>0.1666180439063526</v>
      </c>
      <c r="V11" s="72">
        <f t="shared" si="6"/>
        <v>0.14987673964072815</v>
      </c>
      <c r="W11" s="72">
        <f t="shared" si="7"/>
        <v>0.13503747323340479</v>
      </c>
      <c r="X11" s="72">
        <f t="shared" si="8"/>
        <v>0.12365493757094206</v>
      </c>
      <c r="Y11" s="73">
        <f>IF(ISERROR((B11-C11)/C11),"",IF(B$3=C$3,(B11-C11)/C11,B11*('Data From SEC'!B$14/'Data From SEC'!C$14)/C11-1))</f>
        <v>1.9303986736701839</v>
      </c>
      <c r="Z11" s="74">
        <f>IF(ISERROR((C11-D11)/D11),"",IF(C$3=D$3,(C11-D11)/D11,C11*('Data From SEC'!C$14/'Data From SEC'!D$14)/D11-1))</f>
        <v>-1.8968732629238465</v>
      </c>
      <c r="AA11" s="74">
        <f>IF(ISERROR((D11-E11)/E11),"",IF(D$3=E$3,(D11-E11)/E11,D11*('Data From SEC'!D$14/'Data From SEC'!E$14)/E11-1))</f>
        <v>-0.24468096272737769</v>
      </c>
      <c r="AB11" s="74">
        <f>IF(ISERROR((E11-F11)/F11),"",IF(E$3=F$3,(E11-F11)/F11,E11*('Data From SEC'!E$14/'Data From SEC'!F$14)/F11-1))</f>
        <v>0.22811472768288754</v>
      </c>
      <c r="AC11" s="74" t="str">
        <f>IF(ISERROR((F11-G11)/G11),"",IF(F$3=G$4,(F11-G11)/G11,F11*('Data From SEC'!F$14/'Data From SEC'!G$14)/G11-1))</f>
        <v/>
      </c>
      <c r="AD11" s="290"/>
      <c r="AE11" s="75">
        <f>IF(ISERROR((H11-I11)/I11),"",IF(H$3=I$3,(H11-I11)/I11,H11*('Data From SEC'!H$14/'Data From SEC'!I$14)/I11-1))</f>
        <v>-0.12108776537535623</v>
      </c>
      <c r="AF11" s="74">
        <f>IF(ISERROR((I11-J11)/J11),"",IF(I$3=J$3,(I11-J11)/J11,I11*('Data From SEC'!I$14/'Data From SEC'!J$14)/J11-1))</f>
        <v>0.19764089121887168</v>
      </c>
      <c r="AG11" s="74">
        <f>IF(ISERROR((J11-K11)/K11),"",IF(J$3=K$3,(J11-K11)/K11,J11*('Data From SEC'!J$14/'Data From SEC'!K$14)/K11-1))</f>
        <v>0.16337577189906302</v>
      </c>
      <c r="AH11" s="74">
        <f>IF(ISERROR((K11-L11)/L11),"",IF(K$3=L$3,(K11-L11)/L11,K11*('Data From SEC'!K$14/'Data From SEC'!L$14)/L11-1))</f>
        <v>0.20405727923627792</v>
      </c>
      <c r="AI11" s="22" t="str">
        <f>IF(ISERROR((L11-M11)/M11),"",IF(L$3=M$4,(L11-M11)/M11,L11*('Data From SEC'!L$14/'Data From SEC'!M$14)/M11-1))</f>
        <v/>
      </c>
      <c r="AL11" s="15"/>
    </row>
    <row r="12" spans="1:46" x14ac:dyDescent="0.15">
      <c r="A12" s="57" t="s">
        <v>104</v>
      </c>
      <c r="B12" s="306">
        <f>'Data From SEC'!B36</f>
        <v>29626</v>
      </c>
      <c r="C12" s="306">
        <f>'Data From SEC'!C36</f>
        <v>25825</v>
      </c>
      <c r="D12" s="306">
        <f>'Data From SEC'!D36</f>
        <v>24309</v>
      </c>
      <c r="E12" s="306">
        <f>'Data From SEC'!E36</f>
        <v>21759</v>
      </c>
      <c r="F12" s="306">
        <f>'Data From SEC'!F36</f>
        <v>21481</v>
      </c>
      <c r="G12" s="244"/>
      <c r="H12" s="306">
        <f>'Data From SEC'!H34+'Data From SEC'!H35-'Data From SEC'!H36-'Data From SEC'!H37</f>
        <v>45.7</v>
      </c>
      <c r="I12" s="306">
        <f>'Data From SEC'!I34+'Data From SEC'!I35-'Data From SEC'!I36-'Data From SEC'!I37</f>
        <v>50.8</v>
      </c>
      <c r="J12" s="306">
        <f>'Data From SEC'!J34+'Data From SEC'!J35-'Data From SEC'!J36-'Data From SEC'!J37</f>
        <v>50.800000000000004</v>
      </c>
      <c r="K12" s="306">
        <f>'Data From SEC'!K34+'Data From SEC'!K35-'Data From SEC'!K36-'Data From SEC'!K37</f>
        <v>50.6</v>
      </c>
      <c r="L12" s="306">
        <f>'Data From SEC'!L34+'Data From SEC'!L35-'Data From SEC'!L36-'Data From SEC'!L37</f>
        <v>63.9</v>
      </c>
      <c r="M12" s="270"/>
      <c r="N12" s="72">
        <f>IF(ISERROR(B12/B$6),"",B12/B$6)</f>
        <v>3.050773454378446E-2</v>
      </c>
      <c r="O12" s="72">
        <f>IF(ISERROR(C12/C$6),"",C12/C$6)</f>
        <v>2.2180633236680455E-2</v>
      </c>
      <c r="P12" s="72">
        <f t="shared" si="1"/>
        <v>1.8080017969197996E-2</v>
      </c>
      <c r="Q12" s="72">
        <f t="shared" si="2"/>
        <v>1.7572053981634098E-2</v>
      </c>
      <c r="R12" s="72">
        <f t="shared" si="3"/>
        <v>1.8273925988940877E-2</v>
      </c>
      <c r="S12" s="273"/>
      <c r="T12" s="72">
        <f>IF(ISERROR(H12/H$6),"",H12/H$6)</f>
        <v>4.2391747987087685E-3</v>
      </c>
      <c r="U12" s="72">
        <f>IF(ISERROR(I12/I$6),"",I12/I$6)</f>
        <v>4.6313179199183136E-3</v>
      </c>
      <c r="V12" s="72">
        <f t="shared" si="6"/>
        <v>4.9893436263099486E-3</v>
      </c>
      <c r="W12" s="72">
        <f t="shared" si="7"/>
        <v>5.209191237028496E-3</v>
      </c>
      <c r="X12" s="72">
        <f t="shared" si="8"/>
        <v>7.2531214528944376E-3</v>
      </c>
      <c r="Y12" s="73">
        <f>IF(ISERROR((B12-C12)/C12),"",IF(B$3=C$3,(B12-C12)/C12,B12*('Data From SEC'!B$14/'Data From SEC'!C$14)/C12-1))</f>
        <v>0.14718296224588576</v>
      </c>
      <c r="Z12" s="74">
        <f>IF(ISERROR((C12-D12)/D12),"",IF(C$3=D$3,(C12-D12)/D12,C12*('Data From SEC'!C$14/'Data From SEC'!D$14)/D12-1))</f>
        <v>6.2363733596610307E-2</v>
      </c>
      <c r="AA12" s="74">
        <f>IF(ISERROR((D12-E12)/E12),"",IF(D$3=E$3,(D12-E12)/E12,D12*('Data From SEC'!D$14/'Data From SEC'!E$14)/E12-1))</f>
        <v>0.11719288570246794</v>
      </c>
      <c r="AB12" s="74">
        <f>IF(ISERROR((E12-F12)/F12),"",IF(E$3=F$3,(E12-F12)/F12,E12*('Data From SEC'!E$14/'Data From SEC'!F$14)/F12-1))</f>
        <v>1.2941669382244775E-2</v>
      </c>
      <c r="AC12" s="74" t="str">
        <f>IF(ISERROR((F12-G12)/G12),"",IF(F$3=G$4,(F12-G12)/G12,F12*('Data From SEC'!F$14/'Data From SEC'!G$14)/G12-1))</f>
        <v/>
      </c>
      <c r="AD12" s="290"/>
      <c r="AE12" s="75">
        <f>IF(ISERROR((H12-I12)/I12),"",IF(H$3=I$3,(H12-I12)/I12,H12*('Data From SEC'!H$14/'Data From SEC'!I$14)/I12-1))</f>
        <v>-0.10039370078740147</v>
      </c>
      <c r="AF12" s="74">
        <f>IF(ISERROR((I12-J12)/J12),"",IF(I$3=J$3,(I12-J12)/J12,I12*('Data From SEC'!I$14/'Data From SEC'!J$14)/J12-1))</f>
        <v>-1.3987061727561027E-16</v>
      </c>
      <c r="AG12" s="74">
        <f>IF(ISERROR((J12-K12)/K12),"",IF(J$3=K$3,(J12-K12)/K12,J12*('Data From SEC'!J$14/'Data From SEC'!K$14)/K12-1))</f>
        <v>3.9525691699605304E-3</v>
      </c>
      <c r="AH12" s="74">
        <f>IF(ISERROR((K12-L12)/L12),"",IF(K$3=L$3,(K12-L12)/L12,K12*('Data From SEC'!K$14/'Data From SEC'!L$14)/L12-1))</f>
        <v>-0.20813771517996865</v>
      </c>
      <c r="AI12" s="22" t="str">
        <f>IF(ISERROR((L12-M12)/M12),"",IF(L$3=M$4,(L12-M12)/M12,L12*('Data From SEC'!L$14/'Data From SEC'!M$14)/M12-1))</f>
        <v/>
      </c>
      <c r="AL12" s="15"/>
    </row>
    <row r="13" spans="1:46" x14ac:dyDescent="0.15">
      <c r="A13" s="57" t="s">
        <v>112</v>
      </c>
      <c r="B13" s="306">
        <f>'Data From SEC'!B37</f>
        <v>239</v>
      </c>
      <c r="C13" s="306">
        <f>'Data From SEC'!C37</f>
        <v>0</v>
      </c>
      <c r="D13" s="306">
        <f>'Data From SEC'!D37</f>
        <v>0</v>
      </c>
      <c r="E13" s="306">
        <f>'Data From SEC'!E37</f>
        <v>0</v>
      </c>
      <c r="F13" s="306">
        <f>'Data From SEC'!F37</f>
        <v>6468</v>
      </c>
      <c r="G13" s="245"/>
      <c r="H13" s="307"/>
      <c r="I13" s="307"/>
      <c r="J13" s="307"/>
      <c r="K13" s="307"/>
      <c r="L13" s="307"/>
      <c r="M13" s="270"/>
      <c r="N13" s="76">
        <f>IF(ISERROR(B13/B$6),"",B13/B$6)</f>
        <v>2.461131626262231E-4</v>
      </c>
      <c r="O13" s="76">
        <f>IF(ISERROR(C13/C$6),"",C13/C$6)</f>
        <v>0</v>
      </c>
      <c r="P13" s="76">
        <f>IF(ISERROR(D13/D$6),"",D13/D$6)</f>
        <v>0</v>
      </c>
      <c r="Q13" s="76">
        <f>IF(ISERROR(E13/E$6),"",E13/E$6)</f>
        <v>0</v>
      </c>
      <c r="R13" s="76">
        <f>IF(ISERROR(F13/F$6),"",F13/F$6)</f>
        <v>5.5023394300297741E-3</v>
      </c>
      <c r="S13" s="274"/>
      <c r="T13" s="76">
        <f>IF(ISERROR(H13/H$6),"",H13/H$6)</f>
        <v>0</v>
      </c>
      <c r="U13" s="76">
        <f>IF(ISERROR(I13/I$6),"",I13/I$6)</f>
        <v>0</v>
      </c>
      <c r="V13" s="76">
        <f>IF(ISERROR(J13/J$6),"",J13/J$6)</f>
        <v>0</v>
      </c>
      <c r="W13" s="76">
        <f>IF(ISERROR(K13/K$6),"",K13/K$6)</f>
        <v>0</v>
      </c>
      <c r="X13" s="76">
        <f>IF(ISERROR(L13/L$6),"",L13/L$6)</f>
        <v>0</v>
      </c>
      <c r="Y13" s="77" t="str">
        <f>IF(ISERROR((B13-C13)/C13),"",IF(B$3=C$3,(B13-C13)/C13,B13*('Data From SEC'!B$14/'Data From SEC'!C$14)/C13-1))</f>
        <v/>
      </c>
      <c r="Z13" s="78" t="str">
        <f>IF(ISERROR((C13-D13)/D13),"",IF(C$3=D$3,(C13-D13)/D13,C13*('Data From SEC'!C$14/'Data From SEC'!D$14)/D13-1))</f>
        <v/>
      </c>
      <c r="AA13" s="78" t="str">
        <f>IF(ISERROR((D13-E13)/E13),"",IF(D$3=E$3,(D13-E13)/E13,D13*('Data From SEC'!D$14/'Data From SEC'!E$14)/E13-1))</f>
        <v/>
      </c>
      <c r="AB13" s="78">
        <f>IF(ISERROR((E13-F13)/F13),"",IF(E$3=F$3,(E13-F13)/F13,E13*('Data From SEC'!E$14/'Data From SEC'!F$14)/F13-1))</f>
        <v>-1</v>
      </c>
      <c r="AC13" s="78" t="str">
        <f>IF(ISERROR((F13-G13)/G13),"",IF(F$3=G$4,(F13-G13)/G13,F13*('Data From SEC'!F$14/'Data From SEC'!G$14)/G13-1))</f>
        <v/>
      </c>
      <c r="AD13" s="291"/>
      <c r="AE13" s="79" t="str">
        <f>IF(ISERROR((H13-I13)/I13),"",IF(H$3=I$3,(H13-I13)/I13,H13*('Data From SEC'!H$14/'Data From SEC'!I$14)/I13-1))</f>
        <v/>
      </c>
      <c r="AF13" s="78" t="str">
        <f>IF(ISERROR((I13-J13)/J13),"",IF(I$3=J$3,(I13-J13)/J13,I13*('Data From SEC'!I$14/'Data From SEC'!J$14)/J13-1))</f>
        <v/>
      </c>
      <c r="AG13" s="78" t="str">
        <f>IF(ISERROR((J13-K13)/K13),"",IF(J$3=K$3,(J13-K13)/K13,J13*('Data From SEC'!J$14/'Data From SEC'!K$14)/K13-1))</f>
        <v/>
      </c>
      <c r="AH13" s="78" t="str">
        <f>IF(ISERROR((K13-L13)/L13),"",IF(K$3=L$3,(K13-L13)/L13,K13*('Data From SEC'!K$14/'Data From SEC'!L$14)/L13-1))</f>
        <v/>
      </c>
      <c r="AI13" s="23" t="str">
        <f>IF(ISERROR((L13-M13)/M13),"",IF(L$3=M$4,(L13-M13)/M13,L13*('Data From SEC'!L$14/'Data From SEC'!M$14)/M13-1))</f>
        <v/>
      </c>
      <c r="AL13" s="15"/>
    </row>
    <row r="14" spans="1:46" x14ac:dyDescent="0.15">
      <c r="A14" s="57" t="s">
        <v>10</v>
      </c>
      <c r="B14" s="308">
        <f>EBIT-Interest-NonOperatingExpense</f>
        <v>-218990</v>
      </c>
      <c r="C14" s="308">
        <f>EBIT-Interest-NonOperatingExpense</f>
        <v>-90364</v>
      </c>
      <c r="D14" s="308">
        <f>EBIT-Interest-NonOperatingExpense</f>
        <v>47651</v>
      </c>
      <c r="E14" s="308">
        <f>EBIT-Interest-NonOperatingExpense</f>
        <v>73512</v>
      </c>
      <c r="F14" s="308">
        <f>EBIT-Interest-NonOperatingExpense</f>
        <v>49626</v>
      </c>
      <c r="G14" s="246"/>
      <c r="H14" s="308">
        <f>EBIT-Interest-NonOperatingExpense</f>
        <v>1560.5999999999992</v>
      </c>
      <c r="I14" s="308">
        <f>EBIT-Interest-NonOperatingExpense</f>
        <v>1776.8000000000004</v>
      </c>
      <c r="J14" s="308">
        <f>EBIT-Interest-NonOperatingExpense</f>
        <v>1475.2000000000019</v>
      </c>
      <c r="K14" s="308">
        <f>EBIT-Interest-NonOperatingExpense</f>
        <v>1261.1000000000008</v>
      </c>
      <c r="L14" s="308">
        <f>EBIT-Interest-NonOperatingExpense</f>
        <v>1025.4999999999995</v>
      </c>
      <c r="M14" s="270"/>
      <c r="N14" s="72">
        <f t="shared" si="9"/>
        <v>-0.22550762126994392</v>
      </c>
      <c r="O14" s="72">
        <f t="shared" si="0"/>
        <v>-7.761203259629787E-2</v>
      </c>
      <c r="P14" s="72">
        <f t="shared" si="1"/>
        <v>3.5440821763554807E-2</v>
      </c>
      <c r="Q14" s="72">
        <f t="shared" si="2"/>
        <v>5.9366553256026744E-2</v>
      </c>
      <c r="R14" s="72">
        <f t="shared" si="3"/>
        <v>4.2216928966397275E-2</v>
      </c>
      <c r="S14" s="273"/>
      <c r="T14" s="72">
        <f t="shared" si="4"/>
        <v>0.14476271752439607</v>
      </c>
      <c r="U14" s="72">
        <f t="shared" si="5"/>
        <v>0.16198672598643429</v>
      </c>
      <c r="V14" s="72">
        <f t="shared" si="6"/>
        <v>0.14488739601441819</v>
      </c>
      <c r="W14" s="72">
        <f t="shared" si="7"/>
        <v>0.1298282819963763</v>
      </c>
      <c r="X14" s="72">
        <f t="shared" si="8"/>
        <v>0.11640181611804762</v>
      </c>
      <c r="Y14" s="73">
        <f>IF(ISERROR((B14-C14)/C14),"",IF(B$3=C$3,(B14-C14)/C14,B14*('Data From SEC'!B$14/'Data From SEC'!C$14)/C14-1))</f>
        <v>1.4234208313045018</v>
      </c>
      <c r="Z14" s="74">
        <f>IF(ISERROR((C14-D14)/D14),"",IF(C$3=D$3,(C14-D14)/D14,C14*('Data From SEC'!C$14/'Data From SEC'!D$14)/D14-1))</f>
        <v>-2.8963715347002164</v>
      </c>
      <c r="AA14" s="74">
        <f>IF(ISERROR((D14-E14)/E14),"",IF(D$3=E$3,(D14-E14)/E14,D14*('Data From SEC'!D$14/'Data From SEC'!E$14)/E14-1))</f>
        <v>-0.35179290455979978</v>
      </c>
      <c r="AB14" s="74">
        <f>IF(ISERROR((E14-F14)/F14),"",IF(E$3=F$3,(E14-F14)/F14,E14*('Data From SEC'!E$14/'Data From SEC'!F$14)/F14-1))</f>
        <v>0.4813202756619514</v>
      </c>
      <c r="AC14" s="74" t="str">
        <f>IF(ISERROR((F14-G14)/G14),"",IF(F$3=G$4,(F14-G14)/G14,F14*('Data From SEC'!F$14/'Data From SEC'!G$14)/G14-1))</f>
        <v/>
      </c>
      <c r="AD14" s="290"/>
      <c r="AE14" s="75">
        <f>IF(ISERROR((H14-I14)/I14),"",IF(H$3=I$3,(H14-I14)/I14,H14*('Data From SEC'!H$14/'Data From SEC'!I$14)/I14-1))</f>
        <v>-0.1216794236830263</v>
      </c>
      <c r="AF14" s="74">
        <f>IF(ISERROR((I14-J14)/J14),"",IF(I$3=J$3,(I14-J14)/J14,I14*('Data From SEC'!I$14/'Data From SEC'!J$14)/J14-1))</f>
        <v>0.20444685466377316</v>
      </c>
      <c r="AG14" s="74">
        <f>IF(ISERROR((J14-K14)/K14),"",IF(J$3=K$3,(J14-K14)/K14,J14*('Data From SEC'!J$14/'Data From SEC'!K$14)/K14-1))</f>
        <v>0.16977242090238753</v>
      </c>
      <c r="AH14" s="74">
        <f>IF(ISERROR((K14-L14)/L14),"",IF(K$3=L$3,(K14-L14)/L14,K14*('Data From SEC'!K$14/'Data From SEC'!L$14)/L14-1))</f>
        <v>0.22974158946855328</v>
      </c>
      <c r="AI14" s="22" t="str">
        <f>IF(ISERROR((L14-M14)/M14),"",IF(L$3=M$4,(L14-M14)/M14,L14*('Data From SEC'!L$14/'Data From SEC'!M$14)/M14-1))</f>
        <v/>
      </c>
      <c r="AL14" s="15"/>
    </row>
    <row r="15" spans="1:46" x14ac:dyDescent="0.15">
      <c r="A15" s="57" t="s">
        <v>11</v>
      </c>
      <c r="B15" s="307">
        <f>'Data From SEC'!B40</f>
        <v>6297</v>
      </c>
      <c r="C15" s="307">
        <f>'Data From SEC'!C40</f>
        <v>56832</v>
      </c>
      <c r="D15" s="307">
        <f>'Data From SEC'!D40</f>
        <v>6940</v>
      </c>
      <c r="E15" s="307">
        <f>'Data From SEC'!E40</f>
        <v>16093</v>
      </c>
      <c r="F15" s="307">
        <f>'Data From SEC'!F40</f>
        <v>8637</v>
      </c>
      <c r="G15" s="245"/>
      <c r="H15" s="307">
        <f>'Data From SEC'!H39</f>
        <v>467.2</v>
      </c>
      <c r="I15" s="307">
        <f>'Data From SEC'!I39</f>
        <v>567.70000000000005</v>
      </c>
      <c r="J15" s="307">
        <f>'Data From SEC'!J39</f>
        <v>451.4</v>
      </c>
      <c r="K15" s="307">
        <f>'Data From SEC'!K39</f>
        <v>400.6</v>
      </c>
      <c r="L15" s="307">
        <f>'Data From SEC'!L39</f>
        <v>321.7</v>
      </c>
      <c r="M15" s="270"/>
      <c r="N15" s="76">
        <f t="shared" si="9"/>
        <v>6.4844124897796103E-3</v>
      </c>
      <c r="O15" s="76">
        <f t="shared" si="0"/>
        <v>4.8811994118374585E-2</v>
      </c>
      <c r="P15" s="76">
        <f t="shared" si="1"/>
        <v>5.1616818752821631E-3</v>
      </c>
      <c r="Q15" s="76">
        <f t="shared" si="2"/>
        <v>1.2996326335145804E-2</v>
      </c>
      <c r="R15" s="76">
        <f t="shared" si="3"/>
        <v>7.3475116971501485E-3</v>
      </c>
      <c r="S15" s="274"/>
      <c r="T15" s="76">
        <f t="shared" si="4"/>
        <v>4.3337909539534709E-2</v>
      </c>
      <c r="U15" s="76">
        <f t="shared" si="5"/>
        <v>5.1755889431843054E-2</v>
      </c>
      <c r="V15" s="76">
        <f t="shared" si="6"/>
        <v>4.4334443167643907E-2</v>
      </c>
      <c r="W15" s="76">
        <f t="shared" si="7"/>
        <v>4.1241146433865922E-2</v>
      </c>
      <c r="X15" s="76">
        <f t="shared" si="8"/>
        <v>3.6515323496027242E-2</v>
      </c>
      <c r="Y15" s="77">
        <f>IF(ISERROR((B15-C15)/C15),"",IF(B$3=C$3,(B15-C15)/C15,B15*('Data From SEC'!B$14/'Data From SEC'!C$14)/C15-1))</f>
        <v>-0.8891997466216216</v>
      </c>
      <c r="Z15" s="78">
        <f>IF(ISERROR((C15-D15)/D15),"",IF(C$3=D$3,(C15-D15)/D15,C15*('Data From SEC'!C$14/'Data From SEC'!D$14)/D15-1))</f>
        <v>7.1890489913544666</v>
      </c>
      <c r="AA15" s="78">
        <f>IF(ISERROR((D15-E15)/E15),"",IF(D$3=E$3,(D15-E15)/E15,D15*('Data From SEC'!D$14/'Data From SEC'!E$14)/E15-1))</f>
        <v>-0.56875660224942526</v>
      </c>
      <c r="AB15" s="78">
        <f>IF(ISERROR((E15-F15)/F15),"",IF(E$3=F$3,(E15-F15)/F15,E15*('Data From SEC'!E$14/'Data From SEC'!F$14)/F15-1))</f>
        <v>0.86326270695843466</v>
      </c>
      <c r="AC15" s="78" t="str">
        <f>IF(ISERROR((F15-G15)/G15),"",IF(F$3=G$4,(F15-G15)/G15,F15*('Data From SEC'!F$14/'Data From SEC'!G$14)/G15-1))</f>
        <v/>
      </c>
      <c r="AD15" s="291"/>
      <c r="AE15" s="79">
        <f>IF(ISERROR((H15-I15)/I15),"",IF(H$3=I$3,(H15-I15)/I15,H15*('Data From SEC'!H$14/'Data From SEC'!I$14)/I15-1))</f>
        <v>-0.1770301215430686</v>
      </c>
      <c r="AF15" s="78">
        <f>IF(ISERROR((I15-J15)/J15),"",IF(I$3=J$3,(I15-J15)/J15,I15*('Data From SEC'!I$14/'Data From SEC'!J$14)/J15-1))</f>
        <v>0.25764288879042996</v>
      </c>
      <c r="AG15" s="78">
        <f>IF(ISERROR((J15-K15)/K15),"",IF(J$3=K$3,(J15-K15)/K15,J15*('Data From SEC'!J$14/'Data From SEC'!K$14)/K15-1))</f>
        <v>0.12680978532201687</v>
      </c>
      <c r="AH15" s="78">
        <f>IF(ISERROR((K15-L15)/L15),"",IF(K$3=L$3,(K15-L15)/L15,K15*('Data From SEC'!K$14/'Data From SEC'!L$14)/L15-1))</f>
        <v>0.24525955859496437</v>
      </c>
      <c r="AI15" s="23" t="str">
        <f>IF(ISERROR((L15-M15)/M15),"",IF(L$3=M$4,(L15-M15)/M15,L15*('Data From SEC'!L$14/'Data From SEC'!M$14)/M15-1))</f>
        <v/>
      </c>
      <c r="AL15" s="15"/>
    </row>
    <row r="16" spans="1:46" x14ac:dyDescent="0.15">
      <c r="A16" s="57" t="s">
        <v>108</v>
      </c>
      <c r="B16" s="308">
        <f>EBT-Taxes</f>
        <v>-225287</v>
      </c>
      <c r="C16" s="308">
        <f>EBT-Taxes</f>
        <v>-147196</v>
      </c>
      <c r="D16" s="308">
        <f>EBT-Taxes</f>
        <v>40711</v>
      </c>
      <c r="E16" s="308">
        <f>EBT-Taxes</f>
        <v>57419</v>
      </c>
      <c r="F16" s="308">
        <f>EBT-Taxes</f>
        <v>40989</v>
      </c>
      <c r="G16" s="246"/>
      <c r="H16" s="308">
        <f>EBT-Taxes</f>
        <v>1093.3999999999992</v>
      </c>
      <c r="I16" s="308">
        <f>EBT-Taxes</f>
        <v>1209.1000000000004</v>
      </c>
      <c r="J16" s="308">
        <f>EBT-Taxes</f>
        <v>1023.8000000000019</v>
      </c>
      <c r="K16" s="308">
        <f>EBT-Taxes</f>
        <v>860.5000000000008</v>
      </c>
      <c r="L16" s="308">
        <f>EBT-Taxes</f>
        <v>703.7999999999995</v>
      </c>
      <c r="M16" s="270"/>
      <c r="N16" s="72">
        <f t="shared" si="9"/>
        <v>-0.23199203375972352</v>
      </c>
      <c r="O16" s="72">
        <f t="shared" si="0"/>
        <v>-0.12642402671467246</v>
      </c>
      <c r="P16" s="72">
        <f t="shared" si="1"/>
        <v>3.0279139888272643E-2</v>
      </c>
      <c r="Q16" s="72">
        <f t="shared" si="2"/>
        <v>4.6370226920880935E-2</v>
      </c>
      <c r="R16" s="72">
        <f t="shared" si="3"/>
        <v>3.4869417269247131E-2</v>
      </c>
      <c r="S16" s="273"/>
      <c r="T16" s="72">
        <f t="shared" si="4"/>
        <v>0.10142480798486134</v>
      </c>
      <c r="U16" s="72">
        <f t="shared" si="5"/>
        <v>0.11023083655459125</v>
      </c>
      <c r="V16" s="72">
        <f t="shared" si="6"/>
        <v>0.10055295284677429</v>
      </c>
      <c r="W16" s="72">
        <f t="shared" si="7"/>
        <v>8.8587135562510369E-2</v>
      </c>
      <c r="X16" s="72">
        <f t="shared" si="8"/>
        <v>7.9886492622020369E-2</v>
      </c>
      <c r="Y16" s="73">
        <f>IF(ISERROR((B16-C16)/C16),"",IF(B$3=C$3,(B16-C16)/C16,B16*('Data From SEC'!B$14/'Data From SEC'!C$14)/C16-1))</f>
        <v>0.53052392728063258</v>
      </c>
      <c r="Z16" s="74">
        <f>IF(ISERROR((C16-D16)/D16),"",IF(C$3=D$3,(C16-D16)/D16,C16*('Data From SEC'!C$14/'Data From SEC'!D$14)/D16-1))</f>
        <v>-4.6156321387340027</v>
      </c>
      <c r="AA16" s="74">
        <f>IF(ISERROR((D16-E16)/E16),"",IF(D$3=E$3,(D16-E16)/E16,D16*('Data From SEC'!D$14/'Data From SEC'!E$14)/E16-1))</f>
        <v>-0.29098382068653234</v>
      </c>
      <c r="AB16" s="74">
        <f>IF(ISERROR((E16-F16)/F16),"",IF(E$3=F$3,(E16-F16)/F16,E16*('Data From SEC'!E$14/'Data From SEC'!F$14)/F16-1))</f>
        <v>0.40083924955475858</v>
      </c>
      <c r="AC16" s="74" t="str">
        <f>IF(ISERROR((F16-G16)/G16),"",IF(F$3=G$4,(F16-G16)/G16,F16*('Data From SEC'!F$14/'Data From SEC'!G$14)/G16-1))</f>
        <v/>
      </c>
      <c r="AD16" s="290"/>
      <c r="AE16" s="75">
        <f>IF(ISERROR((H16-I16)/I16),"",IF(H$3=I$3,(H16-I16)/I16,H16*('Data From SEC'!H$14/'Data From SEC'!I$14)/I16-1))</f>
        <v>-9.5691009842032215E-2</v>
      </c>
      <c r="AF16" s="74">
        <f>IF(ISERROR((I16-J16)/J16),"",IF(I$3=J$3,(I16-J16)/J16,I16*('Data From SEC'!I$14/'Data From SEC'!J$14)/J16-1))</f>
        <v>0.18099238132447562</v>
      </c>
      <c r="AG16" s="74">
        <f>IF(ISERROR((J16-K16)/K16),"",IF(J$3=K$3,(J16-K16)/K16,J16*('Data From SEC'!J$14/'Data From SEC'!K$14)/K16-1))</f>
        <v>0.18977338756537007</v>
      </c>
      <c r="AH16" s="74">
        <f>IF(ISERROR((K16-L16)/L16),"",IF(K$3=L$3,(K16-L16)/L16,K16*('Data From SEC'!K$14/'Data From SEC'!L$14)/L16-1))</f>
        <v>0.22264847968172977</v>
      </c>
      <c r="AI16" s="22" t="str">
        <f>IF(ISERROR((L16-M16)/M16),"",IF(L$3=M$4,(L16-M16)/M16,L16*('Data From SEC'!L$14/'Data From SEC'!M$14)/M16-1))</f>
        <v/>
      </c>
      <c r="AL16" s="15"/>
    </row>
    <row r="17" spans="1:46" x14ac:dyDescent="0.15">
      <c r="A17" s="57" t="s">
        <v>12</v>
      </c>
      <c r="B17" s="365">
        <f>'Data From SEC'!B44+'Data From SEC'!B42</f>
        <v>21039</v>
      </c>
      <c r="C17" s="365">
        <f>'Data From SEC'!C44+'Data From SEC'!C42</f>
        <v>-1468</v>
      </c>
      <c r="D17" s="365">
        <f>'Data From SEC'!D44+'Data From SEC'!D42</f>
        <v>0</v>
      </c>
      <c r="E17" s="365">
        <f>'Data From SEC'!E44+'Data From SEC'!E42</f>
        <v>0</v>
      </c>
      <c r="F17" s="365">
        <f>'Data From SEC'!F44+'Data From SEC'!F42</f>
        <v>0</v>
      </c>
      <c r="G17" s="244"/>
      <c r="H17" s="365">
        <f>-'Data From SEC'!H41</f>
        <v>4.5</v>
      </c>
      <c r="I17" s="365">
        <f>-'Data From SEC'!I41</f>
        <v>5</v>
      </c>
      <c r="J17" s="365">
        <f>-'Data From SEC'!J41</f>
        <v>4</v>
      </c>
      <c r="K17" s="365">
        <f>-'Data From SEC'!K41</f>
        <v>3.6</v>
      </c>
      <c r="L17" s="365">
        <f>-'Data From SEC'!L41</f>
        <v>3</v>
      </c>
      <c r="M17" s="244"/>
      <c r="N17" s="76">
        <f t="shared" si="9"/>
        <v>2.1665166646414678E-2</v>
      </c>
      <c r="O17" s="76">
        <f t="shared" si="0"/>
        <v>-1.2608390935700642E-3</v>
      </c>
      <c r="P17" s="76">
        <f t="shared" si="1"/>
        <v>0</v>
      </c>
      <c r="Q17" s="76">
        <f t="shared" si="2"/>
        <v>0</v>
      </c>
      <c r="R17" s="76">
        <f t="shared" si="3"/>
        <v>0</v>
      </c>
      <c r="S17" s="274"/>
      <c r="T17" s="76">
        <f t="shared" si="4"/>
        <v>4.1742421431486773E-4</v>
      </c>
      <c r="U17" s="76">
        <f t="shared" si="5"/>
        <v>4.5583837794471596E-4</v>
      </c>
      <c r="V17" s="76">
        <f t="shared" si="6"/>
        <v>3.9286170285905101E-4</v>
      </c>
      <c r="W17" s="76">
        <f t="shared" si="7"/>
        <v>3.7061439631032778E-4</v>
      </c>
      <c r="X17" s="76">
        <f t="shared" si="8"/>
        <v>3.40522133938706E-4</v>
      </c>
      <c r="Y17" s="77">
        <f>IF(ISERROR((B17-C17)/C17),"",IF(B$3=C$3,(B17-C17)/C17,B17*('Data From SEC'!B$14/'Data From SEC'!C$14)/C17-1))</f>
        <v>-15.331743869209809</v>
      </c>
      <c r="Z17" s="78" t="str">
        <f>IF(ISERROR((C17-D17)/D17),"",IF(C$3=D$3,(C17-D17)/D17,C17*('Data From SEC'!C$14/'Data From SEC'!D$14)/D17-1))</f>
        <v/>
      </c>
      <c r="AA17" s="78" t="str">
        <f>IF(ISERROR((D17-E17)/E17),"",IF(D$3=E$3,(D17-E17)/E17,D17*('Data From SEC'!D$14/'Data From SEC'!E$14)/E17-1))</f>
        <v/>
      </c>
      <c r="AB17" s="78" t="str">
        <f>IF(ISERROR((E17-F17)/F17),"",IF(E$3=F$3,(E17-F17)/F17,E17*('Data From SEC'!E$14/'Data From SEC'!F$14)/F17-1))</f>
        <v/>
      </c>
      <c r="AC17" s="78" t="str">
        <f>IF(ISERROR((F17-G17)/G17),"",IF(F$3=G$4,(F17-G17)/G17,F17*('Data From SEC'!F$14/'Data From SEC'!G$14)/G17-1))</f>
        <v/>
      </c>
      <c r="AD17" s="291"/>
      <c r="AE17" s="79">
        <f>IF(ISERROR((H17-I17)/I17),"",IF(H$3=I$3,(H17-I17)/I17,H17*('Data From SEC'!H$14/'Data From SEC'!I$14)/I17-1))</f>
        <v>-0.1</v>
      </c>
      <c r="AF17" s="78">
        <f>IF(ISERROR((I17-J17)/J17),"",IF(I$3=J$3,(I17-J17)/J17,I17*('Data From SEC'!I$14/'Data From SEC'!J$14)/J17-1))</f>
        <v>0.25</v>
      </c>
      <c r="AG17" s="78">
        <f>IF(ISERROR((J17-K17)/K17),"",IF(J$3=K$3,(J17-K17)/K17,J17*('Data From SEC'!J$14/'Data From SEC'!K$14)/K17-1))</f>
        <v>0.11111111111111108</v>
      </c>
      <c r="AH17" s="78">
        <f>IF(ISERROR((K17-L17)/L17),"",IF(K$3=L$3,(K17-L17)/L17,K17*('Data From SEC'!K$14/'Data From SEC'!L$14)/L17-1))</f>
        <v>0.20000000000000004</v>
      </c>
      <c r="AI17" s="23" t="str">
        <f>IF(ISERROR((L17-M17)/M17),"",IF(L$3=M$4,(L17-M17)/M17,L17*('Data From SEC'!L$14/'Data From SEC'!M$14)/M17-1))</f>
        <v/>
      </c>
      <c r="AL17" s="15"/>
    </row>
    <row r="18" spans="1:46" ht="14" thickBot="1" x14ac:dyDescent="0.2">
      <c r="A18" s="57" t="s">
        <v>13</v>
      </c>
      <c r="B18" s="309">
        <f>NI.B4Prfd-Dividends_Preferred</f>
        <v>-246326</v>
      </c>
      <c r="C18" s="309">
        <f>NI.B4Prfd-Dividends_Preferred</f>
        <v>-145728</v>
      </c>
      <c r="D18" s="309">
        <f>NI.B4Prfd-Dividends_Preferred</f>
        <v>40711</v>
      </c>
      <c r="E18" s="309">
        <f>NI.B4Prfd-Dividends_Preferred</f>
        <v>57419</v>
      </c>
      <c r="F18" s="309">
        <f>NI.B4Prfd-Dividends_Preferred</f>
        <v>40989</v>
      </c>
      <c r="G18" s="247"/>
      <c r="H18" s="309">
        <f>NI.B4Prfd-Dividends_Preferred</f>
        <v>1088.8999999999992</v>
      </c>
      <c r="I18" s="309">
        <f>NI.B4Prfd-Dividends_Preferred</f>
        <v>1204.1000000000004</v>
      </c>
      <c r="J18" s="309">
        <f>NI.B4Prfd-Dividends_Preferred</f>
        <v>1019.8000000000019</v>
      </c>
      <c r="K18" s="309">
        <f>NI.B4Prfd-Dividends_Preferred</f>
        <v>856.90000000000077</v>
      </c>
      <c r="L18" s="309">
        <f>NI.B4Prfd-Dividends_Preferred</f>
        <v>700.7999999999995</v>
      </c>
      <c r="M18" s="270"/>
      <c r="N18" s="80">
        <f t="shared" si="9"/>
        <v>-0.25365720040613821</v>
      </c>
      <c r="O18" s="80">
        <f t="shared" si="0"/>
        <v>-0.1251631876211024</v>
      </c>
      <c r="P18" s="80">
        <f t="shared" si="1"/>
        <v>3.0279139888272643E-2</v>
      </c>
      <c r="Q18" s="80">
        <f t="shared" si="2"/>
        <v>4.6370226920880935E-2</v>
      </c>
      <c r="R18" s="80">
        <f t="shared" si="3"/>
        <v>3.4869417269247131E-2</v>
      </c>
      <c r="S18" s="275"/>
      <c r="T18" s="80">
        <f t="shared" si="4"/>
        <v>0.10100738377054648</v>
      </c>
      <c r="U18" s="80">
        <f t="shared" si="5"/>
        <v>0.10977499817664653</v>
      </c>
      <c r="V18" s="80">
        <f t="shared" si="6"/>
        <v>0.10016009114391525</v>
      </c>
      <c r="W18" s="80">
        <f t="shared" si="7"/>
        <v>8.8216521166200046E-2</v>
      </c>
      <c r="X18" s="80">
        <f t="shared" si="8"/>
        <v>7.9545970488081666E-2</v>
      </c>
      <c r="Y18" s="81">
        <f>IF(ISERROR((B18-C18)/C18),"",IF(B$3=C$3,(B18-C18)/C18,B18*('Data From SEC'!B$14/'Data From SEC'!C$14)/C18-1))</f>
        <v>0.69031346069389543</v>
      </c>
      <c r="Z18" s="82">
        <f>IF(ISERROR((C18-D18)/D18),"",IF(C$3=D$3,(C18-D18)/D18,C18*('Data From SEC'!C$14/'Data From SEC'!D$14)/D18-1))</f>
        <v>-4.5795730883544987</v>
      </c>
      <c r="AA18" s="82">
        <f>IF(ISERROR((D18-E18)/E18),"",IF(D$3=E$3,(D18-E18)/E18,D18*('Data From SEC'!D$14/'Data From SEC'!E$14)/E18-1))</f>
        <v>-0.29098382068653234</v>
      </c>
      <c r="AB18" s="82">
        <f>IF(ISERROR((E18-F18)/F18),"",IF(E$3=F$3,(E18-F18)/F18,E18*('Data From SEC'!E$14/'Data From SEC'!F$14)/F18-1))</f>
        <v>0.40083924955475858</v>
      </c>
      <c r="AC18" s="82" t="str">
        <f>IF(ISERROR((F18-G18)/G18),"",IF(F$3=G$4,(F18-G18)/G18,F18*('Data From SEC'!F$14/'Data From SEC'!G$14)/G18-1))</f>
        <v/>
      </c>
      <c r="AD18" s="292"/>
      <c r="AE18" s="83">
        <f>IF(ISERROR((H18-I18)/I18),"",IF(H$3=I$3,(H18-I18)/I18,H18*('Data From SEC'!H$14/'Data From SEC'!I$14)/I18-1))</f>
        <v>-9.5673116850760853E-2</v>
      </c>
      <c r="AF18" s="82">
        <f>IF(ISERROR((I18-J18)/J18),"",IF(I$3=J$3,(I18-J18)/J18,I18*('Data From SEC'!I$14/'Data From SEC'!J$14)/J18-1))</f>
        <v>0.18072171013924115</v>
      </c>
      <c r="AG18" s="82">
        <f>IF(ISERROR((J18-K18)/K18),"",IF(J$3=K$3,(J18-K18)/K18,J18*('Data From SEC'!J$14/'Data From SEC'!K$14)/K18-1))</f>
        <v>0.19010386276111677</v>
      </c>
      <c r="AH18" s="82">
        <f>IF(ISERROR((K18-L18)/L18),"",IF(K$3=L$3,(K18-L18)/L18,K18*('Data From SEC'!K$14/'Data From SEC'!L$14)/L18-1))</f>
        <v>0.22274543378995632</v>
      </c>
      <c r="AI18" s="28" t="str">
        <f>IF(ISERROR((L18-M18)/M18),"",IF(L$3=M$4,(L18-M18)/M18,L18*('Data From SEC'!L$14/'Data From SEC'!M$14)/M18-1))</f>
        <v/>
      </c>
      <c r="AL18" s="15"/>
    </row>
    <row r="19" spans="1:46" ht="14" thickTop="1" x14ac:dyDescent="0.15">
      <c r="A19" s="57" t="s">
        <v>14</v>
      </c>
      <c r="B19" s="308">
        <f>'Data From SEC'!B15</f>
        <v>30079</v>
      </c>
      <c r="C19" s="308">
        <f>'Data From SEC'!C15</f>
        <v>51082</v>
      </c>
      <c r="D19" s="308">
        <f>'Data From SEC'!D15</f>
        <v>48591</v>
      </c>
      <c r="E19" s="308">
        <f>'Data From SEC'!E15</f>
        <v>153224</v>
      </c>
      <c r="F19" s="308">
        <f>'Data From SEC'!F15</f>
        <v>39472</v>
      </c>
      <c r="G19" s="244"/>
      <c r="H19" s="308">
        <f>'Data From SEC'!H15</f>
        <v>1616.2</v>
      </c>
      <c r="I19" s="308">
        <f>'Data From SEC'!I15</f>
        <v>511.6</v>
      </c>
      <c r="J19" s="308">
        <f>'Data From SEC'!J15</f>
        <v>465.5</v>
      </c>
      <c r="K19" s="308">
        <f>'Data From SEC'!K15</f>
        <v>428.3</v>
      </c>
      <c r="L19" s="308">
        <f>'Data From SEC'!L15</f>
        <v>606.9</v>
      </c>
      <c r="M19" s="244"/>
      <c r="N19" s="18">
        <f t="shared" ref="N19:R20" si="10">IF(ISERROR(B19/B$6),"",B19/B$6)</f>
        <v>3.0974216814368891E-2</v>
      </c>
      <c r="O19" s="18">
        <f t="shared" si="10"/>
        <v>4.3873421374486389E-2</v>
      </c>
      <c r="P19" s="18">
        <f t="shared" si="10"/>
        <v>3.6139954467123286E-2</v>
      </c>
      <c r="Q19" s="18">
        <f t="shared" si="10"/>
        <v>0.12374007993390795</v>
      </c>
      <c r="R19" s="18">
        <f t="shared" si="10"/>
        <v>3.3578902594640581E-2</v>
      </c>
      <c r="S19" s="276"/>
      <c r="T19" s="18">
        <f t="shared" ref="T19:X20" si="11">IF(ISERROR(H19/H$6),"",H19/H$6)</f>
        <v>0.14992022559459761</v>
      </c>
      <c r="U19" s="18">
        <f t="shared" si="11"/>
        <v>4.6641382831303341E-2</v>
      </c>
      <c r="V19" s="18">
        <f t="shared" si="11"/>
        <v>4.5719280670222059E-2</v>
      </c>
      <c r="W19" s="18">
        <f t="shared" si="11"/>
        <v>4.4092818316587054E-2</v>
      </c>
      <c r="X19" s="18">
        <f t="shared" si="11"/>
        <v>6.888762769580023E-2</v>
      </c>
      <c r="Y19" s="19">
        <f>IF(ISERROR((B19-C19)/C19),"",IF(B$3=C$3,(B19-C19)/C19,B19*('Data From SEC'!B$14/'Data From SEC'!C$14)/C19-1))</f>
        <v>-0.41116244469676205</v>
      </c>
      <c r="Z19" s="20">
        <f>IF(ISERROR((C19-D19)/D19),"",IF(C$3=D$3,(C19-D19)/D19,C19*('Data From SEC'!C$14/'Data From SEC'!D$14)/D19-1))</f>
        <v>5.1264637484307797E-2</v>
      </c>
      <c r="AA19" s="20">
        <f>IF(ISERROR((D19-E19)/E19),"",IF(D$3=E$3,(D19-E19)/E19,D19*('Data From SEC'!D$14/'Data From SEC'!E$14)/E19-1))</f>
        <v>-0.68287605074922986</v>
      </c>
      <c r="AB19" s="20">
        <f>IF(ISERROR((E19-F19)/F19),"",IF(E$3=F$3,(E19-F19)/F19,E19*('Data From SEC'!E$14/'Data From SEC'!F$14)/F19-1))</f>
        <v>2.8818402918524524</v>
      </c>
      <c r="AC19" s="20" t="str">
        <f>IF(ISERROR((F19-G19)/G19),"",IF(F$3=G$4,(F19-G19)/G19,F19*('Data From SEC'!F$14/'Data From SEC'!G$14)/G19-1))</f>
        <v/>
      </c>
      <c r="AD19" s="293"/>
      <c r="AE19" s="21">
        <f>IF(ISERROR((H19-I19)/I19),"",IF(H$3=I$3,(H19-I19)/I19,H19*('Data From SEC'!H$14/'Data From SEC'!I$14)/I19-1))</f>
        <v>2.159108678655199</v>
      </c>
      <c r="AF19" s="20">
        <f>IF(ISERROR((I19-J19)/J19),"",IF(I$3=J$3,(I19-J19)/J19,I19*('Data From SEC'!I$14/'Data From SEC'!J$14)/J19-1))</f>
        <v>9.9033297529538183E-2</v>
      </c>
      <c r="AG19" s="20">
        <f>IF(ISERROR((J19-K19)/K19),"",IF(J$3=K$3,(J19-K19)/K19,J19*('Data From SEC'!J$14/'Data From SEC'!K$14)/K19-1))</f>
        <v>8.6855008171842135E-2</v>
      </c>
      <c r="AH19" s="20">
        <f>IF(ISERROR((K19-L19)/L19),"",IF(K$3=L$3,(K19-L19)/L19,K19*('Data From SEC'!K$14/'Data From SEC'!L$14)/L19-1))</f>
        <v>-0.29428241884989287</v>
      </c>
      <c r="AI19" s="22" t="str">
        <f>IF(ISERROR((L19-M19)/M19),"",IF(L$3=M$4,(L19-M19)/M19,L19*('Data From SEC'!L$14/'Data From SEC'!M$14)/M19-1))</f>
        <v/>
      </c>
      <c r="AL19" s="15"/>
    </row>
    <row r="20" spans="1:46" x14ac:dyDescent="0.15">
      <c r="A20" s="57" t="s">
        <v>15</v>
      </c>
      <c r="B20" s="308">
        <f>NetIncome-Dividends_Common</f>
        <v>-276405</v>
      </c>
      <c r="C20" s="308">
        <f>NetIncome-Dividends_Common</f>
        <v>-196810</v>
      </c>
      <c r="D20" s="308">
        <f>NetIncome-Dividends_Common</f>
        <v>-7880</v>
      </c>
      <c r="E20" s="308">
        <f>NetIncome-Dividends_Common</f>
        <v>-95805</v>
      </c>
      <c r="F20" s="308">
        <f>NetIncome-Dividends_Common</f>
        <v>1517</v>
      </c>
      <c r="G20" s="246"/>
      <c r="H20" s="308">
        <f>NetIncome-Dividends_Common</f>
        <v>-527.30000000000086</v>
      </c>
      <c r="I20" s="308">
        <f>NetIncome-Dividends_Common</f>
        <v>692.50000000000034</v>
      </c>
      <c r="J20" s="308">
        <f>NetIncome-Dividends_Common</f>
        <v>554.30000000000189</v>
      </c>
      <c r="K20" s="308">
        <f>NetIncome-Dividends_Common</f>
        <v>428.60000000000076</v>
      </c>
      <c r="L20" s="308">
        <f>NetIncome-Dividends_Common</f>
        <v>93.899999999999523</v>
      </c>
      <c r="M20" s="244"/>
      <c r="N20" s="18">
        <f t="shared" si="10"/>
        <v>-0.28463141722050711</v>
      </c>
      <c r="O20" s="18">
        <f t="shared" si="10"/>
        <v>-0.16903660899558878</v>
      </c>
      <c r="P20" s="18">
        <f t="shared" si="10"/>
        <v>-5.8608145788506408E-3</v>
      </c>
      <c r="Q20" s="18">
        <f t="shared" si="10"/>
        <v>-7.7369853013027012E-2</v>
      </c>
      <c r="R20" s="18">
        <f t="shared" si="10"/>
        <v>1.2905146746065505E-3</v>
      </c>
      <c r="S20" s="276"/>
      <c r="T20" s="18">
        <f t="shared" si="11"/>
        <v>-4.8912841824051138E-2</v>
      </c>
      <c r="U20" s="18">
        <f t="shared" si="11"/>
        <v>6.3133615345343189E-2</v>
      </c>
      <c r="V20" s="18">
        <f t="shared" si="11"/>
        <v>5.4440810473693181E-2</v>
      </c>
      <c r="W20" s="18">
        <f t="shared" si="11"/>
        <v>4.4123702849612992E-2</v>
      </c>
      <c r="X20" s="18">
        <f t="shared" si="11"/>
        <v>1.0658342792281445E-2</v>
      </c>
      <c r="Y20" s="19">
        <f>IF(ISERROR((B20-C20)/C20),"",IF(B$3=C$3,(B20-C20)/C20,B20*('Data From SEC'!B$14/'Data From SEC'!C$14)/C20-1))</f>
        <v>0.40442558813068441</v>
      </c>
      <c r="Z20" s="20">
        <f>IF(ISERROR((C20-D20)/D20),"",IF(C$3=D$3,(C20-D20)/D20,C20*('Data From SEC'!C$14/'Data From SEC'!D$14)/D20-1))</f>
        <v>23.975888324873097</v>
      </c>
      <c r="AA20" s="20">
        <f>IF(ISERROR((D20-E20)/E20),"",IF(D$3=E$3,(D20-E20)/E20,D20*('Data From SEC'!D$14/'Data From SEC'!E$14)/E20-1))</f>
        <v>-0.91774959553259228</v>
      </c>
      <c r="AB20" s="20">
        <f>IF(ISERROR((E20-F20)/F20),"",IF(E$3=F$3,(E20-F20)/F20,E20*('Data From SEC'!E$14/'Data From SEC'!F$14)/F20-1))</f>
        <v>-64.154251812788402</v>
      </c>
      <c r="AC20" s="20" t="str">
        <f>IF(ISERROR((F20-G20)/G20),"",IF(F$3=G$4,(F20-G20)/G20,F20*('Data From SEC'!F$14/'Data From SEC'!G$14)/G20-1))</f>
        <v/>
      </c>
      <c r="AD20" s="293"/>
      <c r="AE20" s="21">
        <f>IF(ISERROR((H20-I20)/I20),"",IF(H$3=I$3,(H20-I20)/I20,H20*('Data From SEC'!H$14/'Data From SEC'!I$14)/I20-1))</f>
        <v>-1.7614440433213003</v>
      </c>
      <c r="AF20" s="20">
        <f>IF(ISERROR((I20-J20)/J20),"",IF(I$3=J$3,(I20-J20)/J20,I20*('Data From SEC'!I$14/'Data From SEC'!J$14)/J20-1))</f>
        <v>0.24932347104455707</v>
      </c>
      <c r="AG20" s="20">
        <f>IF(ISERROR((J20-K20)/K20),"",IF(J$3=K$3,(J20-K20)/K20,J20*('Data From SEC'!J$14/'Data From SEC'!K$14)/K20-1))</f>
        <v>0.29328044797013741</v>
      </c>
      <c r="AH20" s="20">
        <f>IF(ISERROR((K20-L20)/L20),"",IF(K$3=L$3,(K20-L20)/L20,K20*('Data From SEC'!K$14/'Data From SEC'!L$14)/L20-1))</f>
        <v>3.5644302449414584</v>
      </c>
      <c r="AI20" s="22" t="str">
        <f>IF(ISERROR((L20-M20)/M20),"",IF(L$3=M$4,(L20-M20)/M20,L20*('Data From SEC'!L$14/'Data From SEC'!M$14)/M20-1))</f>
        <v/>
      </c>
      <c r="AL20" s="15"/>
    </row>
    <row r="21" spans="1:46" x14ac:dyDescent="0.15">
      <c r="A21" s="57" t="s">
        <v>16</v>
      </c>
      <c r="B21" s="308">
        <f>IF(ISERROR(NetIncome/No.Of.Shares),"",NetIncome/No.Of.Shares)</f>
        <v>-8.2648637766742716</v>
      </c>
      <c r="C21" s="308">
        <f>IF(ISERROR(NetIncome/No.Of.Shares),"",NetIncome/No.Of.Shares)</f>
        <v>-4.9033647375504712</v>
      </c>
      <c r="D21" s="308">
        <f>IF(ISERROR(NetIncome/No.Of.Shares),"",NetIncome/No.Of.Shares)</f>
        <v>1.3720342410353195</v>
      </c>
      <c r="E21" s="308">
        <f>IF(ISERROR(NetIncome/No.Of.Shares),"",NetIncome/No.Of.Shares)</f>
        <v>1.9721449424695174</v>
      </c>
      <c r="F21" s="308">
        <f>IF(ISERROR(NetIncome/No.Of.Shares),"",NetIncome/No.Of.Shares)</f>
        <v>1.4721473979097079</v>
      </c>
      <c r="G21" s="248"/>
      <c r="H21" s="308">
        <f>IF(ISERROR(NetIncome/No.Of.Shares),"",NetIncome/No.Of.Shares)</f>
        <v>2.8708146585815952</v>
      </c>
      <c r="I21" s="308">
        <f>IF(ISERROR(NetIncome/No.Of.Shares),"",NetIncome/No.Of.Shares)</f>
        <v>3.1178146038322123</v>
      </c>
      <c r="J21" s="308">
        <f>IF(ISERROR(NetIncome/No.Of.Shares),"",NetIncome/No.Of.Shares)</f>
        <v>2.6310629514963928</v>
      </c>
      <c r="K21" s="308">
        <f>IF(ISERROR(NetIncome/No.Of.Shares),"",NetIncome/No.Of.Shares)</f>
        <v>2.204527913558016</v>
      </c>
      <c r="L21" s="308">
        <f>IF(ISERROR(NetIncome/No.Of.Shares),"",NetIncome/No.Of.Shares)</f>
        <v>1.7786802030456841</v>
      </c>
      <c r="M21" s="271"/>
      <c r="N21" s="18"/>
      <c r="O21" s="18"/>
      <c r="P21" s="18"/>
      <c r="Q21" s="18"/>
      <c r="R21" s="18"/>
      <c r="S21" s="276"/>
      <c r="T21" s="18"/>
      <c r="U21" s="18"/>
      <c r="V21" s="18"/>
      <c r="W21" s="18"/>
      <c r="X21" s="18"/>
      <c r="Y21" s="19"/>
      <c r="Z21" s="20"/>
      <c r="AA21" s="20"/>
      <c r="AB21" s="20"/>
      <c r="AC21" s="20"/>
      <c r="AD21" s="293"/>
      <c r="AE21" s="21"/>
      <c r="AF21" s="20"/>
      <c r="AG21" s="20"/>
      <c r="AH21" s="20"/>
      <c r="AI21" s="22"/>
    </row>
    <row r="22" spans="1:46" ht="14" thickBot="1" x14ac:dyDescent="0.2">
      <c r="A22" s="59" t="s">
        <v>17</v>
      </c>
      <c r="B22" s="310">
        <f>IF(ISERROR(Dividends_Common/No.Of.Shares),"",Dividends_Common/No.Of.Shares)</f>
        <v>1.0092269494027648</v>
      </c>
      <c r="C22" s="310">
        <f>IF(ISERROR(Dividends_Common/No.Of.Shares),"",Dividends_Common/No.Of.Shares)</f>
        <v>1.7187752355316286</v>
      </c>
      <c r="D22" s="310">
        <f>IF(ISERROR(Dividends_Common/No.Of.Shares),"",Dividends_Common/No.Of.Shares)</f>
        <v>1.6376044755998922</v>
      </c>
      <c r="E22" s="310">
        <f>IF(ISERROR(Dividends_Common/No.Of.Shares),"",Dividends_Common/No.Of.Shares)</f>
        <v>5.2627168126395327</v>
      </c>
      <c r="F22" s="310">
        <f>IF(ISERROR(Dividends_Common/No.Of.Shares),"",Dividends_Common/No.Of.Shares)</f>
        <v>1.4176633265093561</v>
      </c>
      <c r="G22" s="249"/>
      <c r="H22" s="310">
        <f>IF(ISERROR(Dividends_Common/No.Of.Shares),"",Dividends_Common/No.Of.Shares)</f>
        <v>4.2610071183759555</v>
      </c>
      <c r="I22" s="310">
        <f>IF(ISERROR(Dividends_Common/No.Of.Shares),"",Dividends_Common/No.Of.Shares)</f>
        <v>1.3247022268254791</v>
      </c>
      <c r="J22" s="310">
        <f>IF(ISERROR(Dividends_Common/No.Of.Shares),"",Dividends_Common/No.Of.Shares)</f>
        <v>1.2009803921568627</v>
      </c>
      <c r="K22" s="310">
        <f>IF(ISERROR(Dividends_Common/No.Of.Shares),"",Dividends_Common/No.Of.Shares)</f>
        <v>1.1018780550553127</v>
      </c>
      <c r="L22" s="310">
        <f>IF(ISERROR(Dividends_Common/No.Of.Shares),"",Dividends_Common/No.Of.Shares)</f>
        <v>1.5403553299492385</v>
      </c>
      <c r="M22" s="271"/>
      <c r="N22" s="24"/>
      <c r="O22" s="24"/>
      <c r="P22" s="24"/>
      <c r="Q22" s="24"/>
      <c r="R22" s="24"/>
      <c r="S22" s="277"/>
      <c r="T22" s="24"/>
      <c r="U22" s="24"/>
      <c r="V22" s="24"/>
      <c r="W22" s="24"/>
      <c r="X22" s="24"/>
      <c r="Y22" s="25"/>
      <c r="Z22" s="26"/>
      <c r="AA22" s="26"/>
      <c r="AB22" s="26"/>
      <c r="AC22" s="26"/>
      <c r="AD22" s="294"/>
      <c r="AE22" s="27"/>
      <c r="AF22" s="26"/>
      <c r="AG22" s="26"/>
      <c r="AH22" s="26"/>
      <c r="AI22" s="28"/>
    </row>
    <row r="23" spans="1:46" ht="14" thickBot="1" x14ac:dyDescent="0.2">
      <c r="N23" s="30"/>
      <c r="O23" s="30"/>
      <c r="P23" s="30"/>
      <c r="Q23" s="30"/>
      <c r="R23" s="30"/>
      <c r="S23" s="30"/>
      <c r="T23" s="30"/>
      <c r="U23" s="30"/>
      <c r="V23" s="30"/>
      <c r="W23" s="30"/>
      <c r="X23" s="30"/>
      <c r="Y23" s="30"/>
      <c r="Z23" s="31"/>
      <c r="AA23" s="31"/>
      <c r="AB23" s="31"/>
      <c r="AC23" s="183"/>
      <c r="AD23" s="285"/>
      <c r="AE23" s="31"/>
      <c r="AF23" s="31"/>
      <c r="AG23" s="31"/>
      <c r="AH23" s="31"/>
      <c r="AI23" s="31"/>
      <c r="AL23" s="15"/>
    </row>
    <row r="24" spans="1:46" ht="16" x14ac:dyDescent="0.2">
      <c r="A24" s="240" t="s">
        <v>18</v>
      </c>
      <c r="B24" s="311"/>
      <c r="C24" s="311"/>
      <c r="D24" s="311"/>
      <c r="E24" s="311"/>
      <c r="F24" s="311"/>
      <c r="G24" s="250"/>
      <c r="H24" s="311"/>
      <c r="I24" s="311"/>
      <c r="J24" s="311"/>
      <c r="K24" s="311"/>
      <c r="L24" s="311"/>
      <c r="M24" s="250"/>
      <c r="N24" s="178"/>
      <c r="O24" s="178"/>
      <c r="P24" s="178"/>
      <c r="Q24" s="178"/>
      <c r="R24" s="178"/>
      <c r="S24" s="276"/>
      <c r="T24" s="178"/>
      <c r="U24" s="178"/>
      <c r="V24" s="178"/>
      <c r="W24" s="178"/>
      <c r="X24" s="179"/>
      <c r="Y24" s="180"/>
      <c r="Z24" s="181"/>
      <c r="AA24" s="181"/>
      <c r="AB24" s="181"/>
      <c r="AC24" s="280"/>
      <c r="AD24" s="297"/>
      <c r="AE24" s="181"/>
      <c r="AF24" s="181"/>
      <c r="AG24" s="181"/>
      <c r="AH24" s="181"/>
      <c r="AI24" s="182"/>
      <c r="AJ24" s="191"/>
      <c r="AK24" s="192"/>
      <c r="AL24" s="192"/>
      <c r="AM24" s="192"/>
      <c r="AN24" s="192"/>
      <c r="AO24" s="257"/>
      <c r="AP24" s="192"/>
      <c r="AQ24" s="192"/>
      <c r="AR24" s="192"/>
      <c r="AS24" s="192"/>
      <c r="AT24" s="193"/>
    </row>
    <row r="25" spans="1:46" ht="14" x14ac:dyDescent="0.15">
      <c r="A25" s="241" t="s">
        <v>19</v>
      </c>
      <c r="B25" s="312"/>
      <c r="C25" s="312"/>
      <c r="D25" s="312"/>
      <c r="E25" s="312"/>
      <c r="F25" s="312"/>
      <c r="G25" s="251"/>
      <c r="H25" s="312"/>
      <c r="I25" s="312"/>
      <c r="J25" s="312"/>
      <c r="K25" s="312"/>
      <c r="L25" s="312"/>
      <c r="M25" s="257"/>
      <c r="N25" s="18"/>
      <c r="O25" s="18"/>
      <c r="P25" s="18"/>
      <c r="Q25" s="18"/>
      <c r="R25" s="18"/>
      <c r="S25" s="276"/>
      <c r="T25" s="18"/>
      <c r="U25" s="18"/>
      <c r="V25" s="18"/>
      <c r="W25" s="18"/>
      <c r="X25" s="18"/>
      <c r="Y25" s="19"/>
      <c r="Z25" s="20"/>
      <c r="AA25" s="20"/>
      <c r="AB25" s="20"/>
      <c r="AC25" s="20"/>
      <c r="AD25" s="293"/>
      <c r="AE25" s="295"/>
      <c r="AF25" s="20"/>
      <c r="AG25" s="20"/>
      <c r="AH25" s="20"/>
      <c r="AI25" s="22"/>
      <c r="AJ25" s="32"/>
      <c r="AK25" s="32"/>
      <c r="AL25" s="33"/>
      <c r="AM25" s="32"/>
      <c r="AN25" s="32"/>
      <c r="AO25" s="257"/>
      <c r="AP25" s="32"/>
      <c r="AQ25" s="32"/>
      <c r="AR25" s="32"/>
      <c r="AS25" s="32"/>
      <c r="AT25" s="34"/>
    </row>
    <row r="26" spans="1:46" x14ac:dyDescent="0.15">
      <c r="A26" s="57" t="s">
        <v>20</v>
      </c>
      <c r="B26" s="306">
        <f>'Data From SEC'!B58</f>
        <v>46085</v>
      </c>
      <c r="C26" s="306">
        <f>'Data From SEC'!C58</f>
        <v>56308</v>
      </c>
      <c r="D26" s="306">
        <f>'Data From SEC'!D58</f>
        <v>61674</v>
      </c>
      <c r="E26" s="306">
        <f>'Data From SEC'!E58</f>
        <v>59080</v>
      </c>
      <c r="F26" s="306">
        <f>'Data From SEC'!F58</f>
        <v>58850</v>
      </c>
      <c r="G26" s="252"/>
      <c r="H26" s="306">
        <f>'Data From SEC'!H58</f>
        <v>1021.4</v>
      </c>
      <c r="I26" s="306">
        <f>'Data From SEC'!I58</f>
        <v>1629.1</v>
      </c>
      <c r="J26" s="306">
        <f>'Data From SEC'!J58</f>
        <v>1495.7</v>
      </c>
      <c r="K26" s="306">
        <f>'Data From SEC'!K58</f>
        <v>1347.7</v>
      </c>
      <c r="L26" s="306">
        <f>'Data From SEC'!L58</f>
        <v>1253</v>
      </c>
      <c r="M26" s="272"/>
      <c r="N26" s="72">
        <f t="shared" ref="N26:N35" si="12">IF(ISERROR(B26/B$6),"",B26/B$6)</f>
        <v>4.7456590375018794E-2</v>
      </c>
      <c r="O26" s="72">
        <f t="shared" ref="O26:O35" si="13">IF(ISERROR(C26/C$6),"",C26/C$6)</f>
        <v>4.836193983701851E-2</v>
      </c>
      <c r="P26" s="72">
        <f t="shared" ref="P26:P35" si="14">IF(ISERROR(D26/D$6),"",D26/D$6)</f>
        <v>4.5870542936044978E-2</v>
      </c>
      <c r="Q26" s="72">
        <f t="shared" ref="Q26:Q35" si="15">IF(ISERROR(E26/E$6),"",E26/E$6)</f>
        <v>4.7711611252122914E-2</v>
      </c>
      <c r="R26" s="72">
        <f t="shared" ref="R26:R35" si="16">IF(ISERROR(F26/F$6),"",F26/F$6)</f>
        <v>5.0063802637175671E-2</v>
      </c>
      <c r="S26" s="273"/>
      <c r="T26" s="72">
        <f t="shared" ref="T26:T35" si="17">IF(ISERROR(H26/H$6),"",H26/H$6)</f>
        <v>9.4746020555823526E-2</v>
      </c>
      <c r="U26" s="72">
        <f t="shared" ref="U26:U35" si="18">IF(ISERROR(I26/I$6),"",I26/I$6)</f>
        <v>0.14852126030194734</v>
      </c>
      <c r="V26" s="72">
        <f t="shared" ref="V26:V35" si="19">IF(ISERROR(J26/J$6),"",J26/J$6)</f>
        <v>0.14690081224157064</v>
      </c>
      <c r="W26" s="72">
        <f t="shared" ref="W26:W35" si="20">IF(ISERROR(K26/K$6),"",K26/K$6)</f>
        <v>0.13874361719650799</v>
      </c>
      <c r="X26" s="72">
        <f t="shared" ref="X26:X35" si="21">IF(ISERROR(L26/L$6),"",L26/L$6)</f>
        <v>0.14222474460839954</v>
      </c>
      <c r="Y26" s="73">
        <f>IF(ISERROR((B26-C26)/C26),"",IF(B$3=C$3,(B26-C26)/C26,B26*('Data From SEC'!B$14/'Data From SEC'!C$14)/C26-1))</f>
        <v>-0.18155501882503375</v>
      </c>
      <c r="Z26" s="74">
        <f>IF(ISERROR((C26-D26)/D26),"",IF(C$3=D$3,(C26-D26)/D26,C26*('Data From SEC'!C$14/'Data From SEC'!D$14)/D26-1))</f>
        <v>-8.7005869572267081E-2</v>
      </c>
      <c r="AA26" s="74">
        <f>IF(ISERROR((D26-E26)/E26),"",IF(D$3=E$3,(D26-E26)/E26,D26*('Data From SEC'!D$14/'Data From SEC'!E$14)/E26-1))</f>
        <v>4.3906567366283004E-2</v>
      </c>
      <c r="AB26" s="74">
        <f>IF(ISERROR((E26-F26)/F26),"",IF(E$3=F$3,(E26-F26)/F26,E26*('Data From SEC'!E$14/'Data From SEC'!F$14)/F26-1))</f>
        <v>3.9082412914188619E-3</v>
      </c>
      <c r="AC26" s="74" t="str">
        <f>IF(ISERROR((F26-G26)/G26),"",IF(F$3=G$4,(F26-G26)/G26,F26*('Data From SEC'!F$14/'Data From SEC'!G$14)/G26-1))</f>
        <v/>
      </c>
      <c r="AD26" s="290"/>
      <c r="AE26" s="296">
        <f>IF(ISERROR((H26-I26)/I26),"",IF(H$3=I$3,(H26-I26)/I26,H26*('Data From SEC'!H$14/'Data From SEC'!I$14)/I26-1))</f>
        <v>-0.37302805229881525</v>
      </c>
      <c r="AF26" s="74">
        <f>IF(ISERROR((I26-J26)/J26),"",IF(I$3=J$3,(I26-J26)/J26,I26*('Data From SEC'!I$14/'Data From SEC'!J$14)/J26-1))</f>
        <v>8.9189008491007457E-2</v>
      </c>
      <c r="AG26" s="74">
        <f>IF(ISERROR((J26-K26)/K26),"",IF(J$3=K$3,(J26-K26)/K26,J26*('Data From SEC'!J$14/'Data From SEC'!K$14)/K26-1))</f>
        <v>0.10981672479038361</v>
      </c>
      <c r="AH26" s="74">
        <f>IF(ISERROR((K26-L26)/L26),"",IF(K$3=L$3,(K26-L26)/L26,K26*('Data From SEC'!K$14/'Data From SEC'!L$14)/L26-1))</f>
        <v>7.5578611332801318E-2</v>
      </c>
      <c r="AI26" s="22" t="str">
        <f>IF(ISERROR((L26-M26)/M26),"",IF(L$3=M$4,(L26-M26)/M26,L26*('Data From SEC'!L$14/'Data From SEC'!M$14)/M26-1))</f>
        <v/>
      </c>
      <c r="AJ26" s="92">
        <f>IF(ISERROR(B26/B$35),"",B26/B$35)</f>
        <v>5.6669503113533297E-2</v>
      </c>
      <c r="AK26" s="92">
        <f t="shared" ref="AK26:AK51" si="22">IF(ISERROR(C26/C$35),"",C26/C$35)</f>
        <v>5.3038045387711424E-2</v>
      </c>
      <c r="AL26" s="92">
        <f t="shared" ref="AL26:AL51" si="23">IF(ISERROR(D26/D$35),"",D26/D$35)</f>
        <v>5.5877694947686574E-2</v>
      </c>
      <c r="AM26" s="92">
        <f t="shared" ref="AM26:AM51" si="24">IF(ISERROR(E26/E$35),"",E26/E$35)</f>
        <v>5.5382965519698076E-2</v>
      </c>
      <c r="AN26" s="92">
        <f t="shared" ref="AN26:AN51" si="25">IF(ISERROR(F26/F$35),"",F26/F$35)</f>
        <v>6.8843533913482927E-2</v>
      </c>
      <c r="AO26" s="273"/>
      <c r="AP26" s="92">
        <f t="shared" ref="AP26:AP51" si="26">IF(ISERROR(H26/H$35),"",H26/H$35)</f>
        <v>0.12396834644140209</v>
      </c>
      <c r="AQ26" s="92">
        <f t="shared" ref="AQ26:AQ51" si="27">IF(ISERROR(I26/I$35),"",I26/I$35)</f>
        <v>0.20703283855225701</v>
      </c>
      <c r="AR26" s="92">
        <f t="shared" ref="AR26:AR51" si="28">IF(ISERROR(J26/J$35),"",J26/J$35)</f>
        <v>0.20932933997648773</v>
      </c>
      <c r="AS26" s="92">
        <f t="shared" ref="AS26:AS51" si="29">IF(ISERROR(K26/K$35),"",K26/K$35)</f>
        <v>0.20441377218261794</v>
      </c>
      <c r="AT26" s="93">
        <f t="shared" ref="AT26:AT51" si="30">IF(ISERROR(L26/L$35),"",L26/L$35)</f>
        <v>0.19971628492644128</v>
      </c>
    </row>
    <row r="27" spans="1:46" x14ac:dyDescent="0.15">
      <c r="A27" s="57" t="s">
        <v>21</v>
      </c>
      <c r="B27" s="306"/>
      <c r="C27" s="306"/>
      <c r="D27" s="306"/>
      <c r="E27" s="306"/>
      <c r="F27" s="306"/>
      <c r="G27" s="253"/>
      <c r="H27" s="306">
        <f>'Data From SEC'!H59</f>
        <v>503.7</v>
      </c>
      <c r="I27" s="306">
        <f>'Data From SEC'!I59</f>
        <v>0</v>
      </c>
      <c r="J27" s="306">
        <f>'Data From SEC'!J59</f>
        <v>0</v>
      </c>
      <c r="K27" s="306">
        <f>'Data From SEC'!K59</f>
        <v>0</v>
      </c>
      <c r="L27" s="306">
        <f>'Data From SEC'!L59</f>
        <v>0</v>
      </c>
      <c r="M27" s="272"/>
      <c r="N27" s="72">
        <f t="shared" si="12"/>
        <v>0</v>
      </c>
      <c r="O27" s="72">
        <f t="shared" si="13"/>
        <v>0</v>
      </c>
      <c r="P27" s="72">
        <f t="shared" si="14"/>
        <v>0</v>
      </c>
      <c r="Q27" s="72">
        <f t="shared" si="15"/>
        <v>0</v>
      </c>
      <c r="R27" s="72">
        <f t="shared" si="16"/>
        <v>0</v>
      </c>
      <c r="S27" s="273"/>
      <c r="T27" s="72">
        <f t="shared" si="17"/>
        <v>4.6723683722310859E-2</v>
      </c>
      <c r="U27" s="72">
        <f t="shared" si="18"/>
        <v>0</v>
      </c>
      <c r="V27" s="72">
        <f t="shared" si="19"/>
        <v>0</v>
      </c>
      <c r="W27" s="72">
        <f t="shared" si="20"/>
        <v>0</v>
      </c>
      <c r="X27" s="72">
        <f t="shared" si="21"/>
        <v>0</v>
      </c>
      <c r="Y27" s="73" t="str">
        <f>IF(ISERROR((B27-C27)/C27),"",IF(B$3=C$3,(B27-C27)/C27,B27*('Data From SEC'!B$14/'Data From SEC'!C$14)/C27-1))</f>
        <v/>
      </c>
      <c r="Z27" s="74" t="str">
        <f>IF(ISERROR((C27-D27)/D27),"",IF(C$3=D$3,(C27-D27)/D27,C27*('Data From SEC'!C$14/'Data From SEC'!D$14)/D27-1))</f>
        <v/>
      </c>
      <c r="AA27" s="74" t="str">
        <f>IF(ISERROR((D27-E27)/E27),"",IF(D$3=E$3,(D27-E27)/E27,D27*('Data From SEC'!D$14/'Data From SEC'!E$14)/E27-1))</f>
        <v/>
      </c>
      <c r="AB27" s="74" t="str">
        <f>IF(ISERROR((E27-F27)/F27),"",IF(E$3=F$3,(E27-F27)/F27,E27*('Data From SEC'!E$14/'Data From SEC'!F$14)/F27-1))</f>
        <v/>
      </c>
      <c r="AC27" s="74" t="str">
        <f>IF(ISERROR((F27-G27)/G27),"",IF(F$3=G$4,(F27-G27)/G27,F27*('Data From SEC'!F$14/'Data From SEC'!G$14)/G27-1))</f>
        <v/>
      </c>
      <c r="AD27" s="290"/>
      <c r="AE27" s="296" t="str">
        <f>IF(ISERROR((H27-I27)/I27),"",IF(H$3=I$3,(H27-I27)/I27,H27*('Data From SEC'!H$14/'Data From SEC'!I$14)/I27-1))</f>
        <v/>
      </c>
      <c r="AF27" s="74" t="str">
        <f>IF(ISERROR((I27-J27)/J27),"",IF(I$3=J$3,(I27-J27)/J27,I27*('Data From SEC'!I$14/'Data From SEC'!J$14)/J27-1))</f>
        <v/>
      </c>
      <c r="AG27" s="74" t="str">
        <f>IF(ISERROR((J27-K27)/K27),"",IF(J$3=K$3,(J27-K27)/K27,J27*('Data From SEC'!J$14/'Data From SEC'!K$14)/K27-1))</f>
        <v/>
      </c>
      <c r="AH27" s="74" t="str">
        <f>IF(ISERROR((K27-L27)/L27),"",IF(K$3=L$3,(K27-L27)/L27,K27*('Data From SEC'!K$14/'Data From SEC'!L$14)/L27-1))</f>
        <v/>
      </c>
      <c r="AI27" s="22" t="str">
        <f>IF(ISERROR((L27-M27)/M27),"",IF(L$3=M$4,(L27-M27)/M27,L27*('Data From SEC'!L$14/'Data From SEC'!M$14)/M27-1))</f>
        <v/>
      </c>
      <c r="AJ27" s="92">
        <f t="shared" ref="AJ27:AJ51" si="31">IF(ISERROR(B27/B$35),"",B27/B$35)</f>
        <v>0</v>
      </c>
      <c r="AK27" s="92">
        <f t="shared" si="22"/>
        <v>0</v>
      </c>
      <c r="AL27" s="92">
        <f t="shared" si="23"/>
        <v>0</v>
      </c>
      <c r="AM27" s="92">
        <f t="shared" si="24"/>
        <v>0</v>
      </c>
      <c r="AN27" s="92">
        <f t="shared" si="25"/>
        <v>0</v>
      </c>
      <c r="AO27" s="273"/>
      <c r="AP27" s="92">
        <f t="shared" si="26"/>
        <v>6.113457617244393E-2</v>
      </c>
      <c r="AQ27" s="92">
        <f t="shared" si="27"/>
        <v>0</v>
      </c>
      <c r="AR27" s="92">
        <f t="shared" si="28"/>
        <v>0</v>
      </c>
      <c r="AS27" s="92">
        <f t="shared" si="29"/>
        <v>0</v>
      </c>
      <c r="AT27" s="93">
        <f t="shared" si="30"/>
        <v>0</v>
      </c>
    </row>
    <row r="28" spans="1:46" x14ac:dyDescent="0.15">
      <c r="A28" s="57" t="s">
        <v>22</v>
      </c>
      <c r="B28" s="306">
        <f>'Data From SEC'!B59</f>
        <v>105414</v>
      </c>
      <c r="C28" s="306">
        <f>'Data From SEC'!C59</f>
        <v>160806</v>
      </c>
      <c r="D28" s="306">
        <f>'Data From SEC'!D59</f>
        <v>211763</v>
      </c>
      <c r="E28" s="306">
        <f>'Data From SEC'!E59</f>
        <v>188141</v>
      </c>
      <c r="F28" s="306">
        <f>'Data From SEC'!F59</f>
        <v>165622</v>
      </c>
      <c r="G28" s="253"/>
      <c r="H28" s="306">
        <f>'Data From SEC'!H60</f>
        <v>1174.5</v>
      </c>
      <c r="I28" s="306">
        <f>'Data From SEC'!I60</f>
        <v>1379.3</v>
      </c>
      <c r="J28" s="306">
        <f>'Data From SEC'!J60</f>
        <v>1171.7</v>
      </c>
      <c r="K28" s="306">
        <f>'Data From SEC'!K60</f>
        <v>1060.3</v>
      </c>
      <c r="L28" s="306">
        <f>'Data From SEC'!L60</f>
        <v>945.6</v>
      </c>
      <c r="M28" s="272"/>
      <c r="N28" s="72">
        <f t="shared" si="12"/>
        <v>0.1085513511509652</v>
      </c>
      <c r="O28" s="72">
        <f t="shared" si="13"/>
        <v>0.13811341367890173</v>
      </c>
      <c r="P28" s="72">
        <f t="shared" si="14"/>
        <v>0.15750046670826753</v>
      </c>
      <c r="Q28" s="72">
        <f t="shared" si="15"/>
        <v>0.15193822363889062</v>
      </c>
      <c r="R28" s="72">
        <f t="shared" si="16"/>
        <v>0.1408949383241174</v>
      </c>
      <c r="S28" s="273"/>
      <c r="T28" s="72">
        <f t="shared" si="17"/>
        <v>0.10894771993618048</v>
      </c>
      <c r="U28" s="72">
        <f t="shared" si="18"/>
        <v>0.12574757493982933</v>
      </c>
      <c r="V28" s="72">
        <f t="shared" si="19"/>
        <v>0.11507901430998753</v>
      </c>
      <c r="W28" s="72">
        <f t="shared" si="20"/>
        <v>0.10915623455773348</v>
      </c>
      <c r="X28" s="72">
        <f t="shared" si="21"/>
        <v>0.10733257661748014</v>
      </c>
      <c r="Y28" s="73">
        <f>IF(ISERROR((B28-C28)/C28),"",IF(B$3=C$3,(B28-C28)/C28,B28*('Data From SEC'!B$14/'Data From SEC'!C$14)/C28-1))</f>
        <v>-0.34446475877765753</v>
      </c>
      <c r="Z28" s="74">
        <f>IF(ISERROR((C28-D28)/D28),"",IF(C$3=D$3,(C28-D28)/D28,C28*('Data From SEC'!C$14/'Data From SEC'!D$14)/D28-1))</f>
        <v>-0.24063221620396386</v>
      </c>
      <c r="AA28" s="74">
        <f>IF(ISERROR((D28-E28)/E28),"",IF(D$3=E$3,(D28-E28)/E28,D28*('Data From SEC'!D$14/'Data From SEC'!E$14)/E28-1))</f>
        <v>0.12555477009264329</v>
      </c>
      <c r="AB28" s="74">
        <f>IF(ISERROR((E28-F28)/F28),"",IF(E$3=F$3,(E28-F28)/F28,E28*('Data From SEC'!E$14/'Data From SEC'!F$14)/F28-1))</f>
        <v>0.13596623636956442</v>
      </c>
      <c r="AC28" s="74" t="str">
        <f>IF(ISERROR((F28-G28)/G28),"",IF(F$3=G$4,(F28-G28)/G28,F28*('Data From SEC'!F$14/'Data From SEC'!G$14)/G28-1))</f>
        <v/>
      </c>
      <c r="AD28" s="290"/>
      <c r="AE28" s="296">
        <f>IF(ISERROR((H28-I28)/I28),"",IF(H$3=I$3,(H28-I28)/I28,H28*('Data From SEC'!H$14/'Data From SEC'!I$14)/I28-1))</f>
        <v>-0.14848111360835203</v>
      </c>
      <c r="AF28" s="74">
        <f>IF(ISERROR((I28-J28)/J28),"",IF(I$3=J$3,(I28-J28)/J28,I28*('Data From SEC'!I$14/'Data From SEC'!J$14)/J28-1))</f>
        <v>0.17717845864982495</v>
      </c>
      <c r="AG28" s="74">
        <f>IF(ISERROR((J28-K28)/K28),"",IF(J$3=K$3,(J28-K28)/K28,J28*('Data From SEC'!J$14/'Data From SEC'!K$14)/K28-1))</f>
        <v>0.10506460435725747</v>
      </c>
      <c r="AH28" s="74">
        <f>IF(ISERROR((K28-L28)/L28),"",IF(K$3=L$3,(K28-L28)/L28,K28*('Data From SEC'!K$14/'Data From SEC'!L$14)/L28-1))</f>
        <v>0.12129864636209807</v>
      </c>
      <c r="AI28" s="22" t="str">
        <f>IF(ISERROR((L28-M28)/M28),"",IF(L$3=M$4,(L28-M28)/M28,L28*('Data From SEC'!L$14/'Data From SEC'!M$14)/M28-1))</f>
        <v/>
      </c>
      <c r="AJ28" s="92">
        <f t="shared" si="31"/>
        <v>0.12962480202256696</v>
      </c>
      <c r="AK28" s="92">
        <f t="shared" si="22"/>
        <v>0.15146756991220295</v>
      </c>
      <c r="AL28" s="92">
        <f t="shared" si="23"/>
        <v>0.19186088651955366</v>
      </c>
      <c r="AM28" s="92">
        <f t="shared" si="24"/>
        <v>0.17636774739068239</v>
      </c>
      <c r="AN28" s="92">
        <f t="shared" si="25"/>
        <v>0.19374687805979385</v>
      </c>
      <c r="AO28" s="273"/>
      <c r="AP28" s="92">
        <f t="shared" si="26"/>
        <v>0.14255024759685408</v>
      </c>
      <c r="AQ28" s="92">
        <f t="shared" si="27"/>
        <v>0.17528721024806834</v>
      </c>
      <c r="AR28" s="92">
        <f t="shared" si="28"/>
        <v>0.1639842131780776</v>
      </c>
      <c r="AS28" s="92">
        <f t="shared" si="29"/>
        <v>0.16082208402851508</v>
      </c>
      <c r="AT28" s="93">
        <f t="shared" si="30"/>
        <v>0.15071964806579638</v>
      </c>
    </row>
    <row r="29" spans="1:46" x14ac:dyDescent="0.15">
      <c r="A29" s="57" t="s">
        <v>23</v>
      </c>
      <c r="B29" s="306">
        <f>'Data From SEC'!B60</f>
        <v>240740</v>
      </c>
      <c r="C29" s="306">
        <f>'Data From SEC'!C60</f>
        <v>338826</v>
      </c>
      <c r="D29" s="306">
        <f>'Data From SEC'!D60</f>
        <v>310934</v>
      </c>
      <c r="E29" s="306">
        <f>'Data From SEC'!E60</f>
        <v>291987</v>
      </c>
      <c r="F29" s="306">
        <f>'Data From SEC'!F60</f>
        <v>246514</v>
      </c>
      <c r="G29" s="253"/>
      <c r="H29" s="306">
        <f>'Data From SEC'!H61</f>
        <v>1215.8</v>
      </c>
      <c r="I29" s="306">
        <f>'Data From SEC'!I61</f>
        <v>1294</v>
      </c>
      <c r="J29" s="306">
        <f>'Data From SEC'!J61</f>
        <v>1113.9000000000001</v>
      </c>
      <c r="K29" s="306">
        <f>'Data From SEC'!K61</f>
        <v>983.6</v>
      </c>
      <c r="L29" s="306">
        <f>'Data From SEC'!L61</f>
        <v>995.6</v>
      </c>
      <c r="M29" s="272"/>
      <c r="N29" s="72">
        <f t="shared" si="12"/>
        <v>0.24790494883111694</v>
      </c>
      <c r="O29" s="72">
        <f t="shared" si="13"/>
        <v>0.29101162582968021</v>
      </c>
      <c r="P29" s="72">
        <f t="shared" si="14"/>
        <v>0.23125971069293719</v>
      </c>
      <c r="Q29" s="72">
        <f t="shared" si="15"/>
        <v>0.23580179814951954</v>
      </c>
      <c r="R29" s="72">
        <f t="shared" si="16"/>
        <v>0.20970991067630795</v>
      </c>
      <c r="S29" s="273"/>
      <c r="T29" s="72">
        <f t="shared" si="17"/>
        <v>0.11277874661422582</v>
      </c>
      <c r="U29" s="72">
        <f t="shared" si="18"/>
        <v>0.11797097221209249</v>
      </c>
      <c r="V29" s="72">
        <f t="shared" si="19"/>
        <v>0.10940216270367424</v>
      </c>
      <c r="W29" s="72">
        <f t="shared" si="20"/>
        <v>0.10126008894745511</v>
      </c>
      <c r="X29" s="72">
        <f t="shared" si="21"/>
        <v>0.11300794551645857</v>
      </c>
      <c r="Y29" s="73">
        <f>IF(ISERROR((B29-C29)/C29),"",IF(B$3=C$3,(B29-C29)/C29,B29*('Data From SEC'!B$14/'Data From SEC'!C$14)/C29-1))</f>
        <v>-0.28948781970687021</v>
      </c>
      <c r="Z29" s="74">
        <f>IF(ISERROR((C29-D29)/D29),"",IF(C$3=D$3,(C29-D29)/D29,C29*('Data From SEC'!C$14/'Data From SEC'!D$14)/D29-1))</f>
        <v>8.9703924305479618E-2</v>
      </c>
      <c r="AA29" s="74">
        <f>IF(ISERROR((D29-E29)/E29),"",IF(D$3=E$3,(D29-E29)/E29,D29*('Data From SEC'!D$14/'Data From SEC'!E$14)/E29-1))</f>
        <v>6.488987523417139E-2</v>
      </c>
      <c r="AB29" s="74">
        <f>IF(ISERROR((E29-F29)/F29),"",IF(E$3=F$3,(E29-F29)/F29,E29*('Data From SEC'!E$14/'Data From SEC'!F$14)/F29-1))</f>
        <v>0.18446416836366292</v>
      </c>
      <c r="AC29" s="74" t="str">
        <f>IF(ISERROR((F29-G29)/G29),"",IF(F$3=G$4,(F29-G29)/G29,F29*('Data From SEC'!F$14/'Data From SEC'!G$14)/G29-1))</f>
        <v/>
      </c>
      <c r="AD29" s="290"/>
      <c r="AE29" s="296">
        <f>IF(ISERROR((H29-I29)/I29),"",IF(H$3=I$3,(H29-I29)/I29,H29*('Data From SEC'!H$14/'Data From SEC'!I$14)/I29-1))</f>
        <v>-6.043276661514687E-2</v>
      </c>
      <c r="AF29" s="74">
        <f>IF(ISERROR((I29-J29)/J29),"",IF(I$3=J$3,(I29-J29)/J29,I29*('Data From SEC'!I$14/'Data From SEC'!J$14)/J29-1))</f>
        <v>0.16168417272645649</v>
      </c>
      <c r="AG29" s="74">
        <f>IF(ISERROR((J29-K29)/K29),"",IF(J$3=K$3,(J29-K29)/K29,J29*('Data From SEC'!J$14/'Data From SEC'!K$14)/K29-1))</f>
        <v>0.13247254981699885</v>
      </c>
      <c r="AH29" s="74">
        <f>IF(ISERROR((K29-L29)/L29),"",IF(K$3=L$3,(K29-L29)/L29,K29*('Data From SEC'!K$14/'Data From SEC'!L$14)/L29-1))</f>
        <v>-1.2053033346725592E-2</v>
      </c>
      <c r="AI29" s="22" t="str">
        <f>IF(ISERROR((L29-M29)/M29),"",IF(L$3=M$4,(L29-M29)/M29,L29*('Data From SEC'!L$14/'Data From SEC'!M$14)/M29-1))</f>
        <v/>
      </c>
      <c r="AJ29" s="92">
        <f t="shared" si="31"/>
        <v>0.29603159769018128</v>
      </c>
      <c r="AK29" s="92">
        <f t="shared" si="22"/>
        <v>0.31914947727741549</v>
      </c>
      <c r="AL29" s="92">
        <f t="shared" si="23"/>
        <v>0.2817115024299377</v>
      </c>
      <c r="AM29" s="92">
        <f t="shared" si="24"/>
        <v>0.27371540205145706</v>
      </c>
      <c r="AN29" s="92">
        <f t="shared" si="25"/>
        <v>0.28837544467541765</v>
      </c>
      <c r="AO29" s="273"/>
      <c r="AP29" s="92">
        <f t="shared" si="26"/>
        <v>0.14756287018157105</v>
      </c>
      <c r="AQ29" s="92">
        <f t="shared" si="27"/>
        <v>0.16444692964619767</v>
      </c>
      <c r="AR29" s="92">
        <f t="shared" si="28"/>
        <v>0.15589486648379333</v>
      </c>
      <c r="AS29" s="92">
        <f t="shared" si="29"/>
        <v>0.14918853329288639</v>
      </c>
      <c r="AT29" s="93">
        <f t="shared" si="30"/>
        <v>0.15868917260396243</v>
      </c>
    </row>
    <row r="30" spans="1:46" x14ac:dyDescent="0.15">
      <c r="A30" s="57" t="s">
        <v>24</v>
      </c>
      <c r="B30" s="307">
        <f>'Data From SEC'!B61+'Data From SEC'!B62</f>
        <v>31661</v>
      </c>
      <c r="C30" s="307">
        <f>'Data From SEC'!C61+'Data From SEC'!C62</f>
        <v>51818</v>
      </c>
      <c r="D30" s="307">
        <f>'Data From SEC'!D61+'Data From SEC'!D62</f>
        <v>73308</v>
      </c>
      <c r="E30" s="307">
        <f>'Data From SEC'!E61+'Data From SEC'!E62</f>
        <v>85289</v>
      </c>
      <c r="F30" s="307">
        <f>'Data From SEC'!F61+'Data From SEC'!F62</f>
        <v>83408</v>
      </c>
      <c r="G30" s="254"/>
      <c r="H30" s="307">
        <f>'Data From SEC'!H62</f>
        <v>553.1</v>
      </c>
      <c r="I30" s="307">
        <f>'Data From SEC'!I62</f>
        <v>522.79999999999995</v>
      </c>
      <c r="J30" s="307">
        <f>'Data From SEC'!J62</f>
        <v>515.9</v>
      </c>
      <c r="K30" s="307">
        <f>'Data From SEC'!K62</f>
        <v>463.5</v>
      </c>
      <c r="L30" s="307">
        <f>'Data From SEC'!L62</f>
        <v>492.3</v>
      </c>
      <c r="M30" s="272"/>
      <c r="N30" s="76">
        <f t="shared" si="12"/>
        <v>3.2603300593760876E-2</v>
      </c>
      <c r="O30" s="76">
        <f t="shared" si="13"/>
        <v>4.4505558685704077E-2</v>
      </c>
      <c r="P30" s="76">
        <f t="shared" si="14"/>
        <v>5.4523425779997817E-2</v>
      </c>
      <c r="Q30" s="76">
        <f t="shared" si="15"/>
        <v>6.8877380028475141E-2</v>
      </c>
      <c r="R30" s="76">
        <f t="shared" si="16"/>
        <v>7.0955338153977032E-2</v>
      </c>
      <c r="S30" s="274"/>
      <c r="T30" s="76">
        <f t="shared" si="17"/>
        <v>5.1306073986122969E-2</v>
      </c>
      <c r="U30" s="76">
        <f t="shared" si="18"/>
        <v>4.7662460797899493E-2</v>
      </c>
      <c r="V30" s="76">
        <f t="shared" si="19"/>
        <v>5.0669338126246105E-2</v>
      </c>
      <c r="W30" s="76">
        <f t="shared" si="20"/>
        <v>4.7716603524954701E-2</v>
      </c>
      <c r="X30" s="76">
        <f t="shared" si="21"/>
        <v>5.587968217934166E-2</v>
      </c>
      <c r="Y30" s="77">
        <f>IF(ISERROR((B30-C30)/C30),"",IF(B$3=C$3,(B30-C30)/C30,B30*('Data From SEC'!B$14/'Data From SEC'!C$14)/C30-1))</f>
        <v>-0.38899610174070787</v>
      </c>
      <c r="Z30" s="78">
        <f>IF(ISERROR((C30-D30)/D30),"",IF(C$3=D$3,(C30-D30)/D30,C30*('Data From SEC'!C$14/'Data From SEC'!D$14)/D30-1))</f>
        <v>-0.29314672341354286</v>
      </c>
      <c r="AA30" s="78">
        <f>IF(ISERROR((D30-E30)/E30),"",IF(D$3=E$3,(D30-E30)/E30,D30*('Data From SEC'!D$14/'Data From SEC'!E$14)/E30-1))</f>
        <v>-0.14047532507122842</v>
      </c>
      <c r="AB30" s="78">
        <f>IF(ISERROR((E30-F30)/F30),"",IF(E$3=F$3,(E30-F30)/F30,E30*('Data From SEC'!E$14/'Data From SEC'!F$14)/F30-1))</f>
        <v>2.2551793592940725E-2</v>
      </c>
      <c r="AC30" s="78" t="str">
        <f>IF(ISERROR((F30-G30)/G30),"",IF(F$3=G$4,(F30-G30)/G30,F30*('Data From SEC'!F$14/'Data From SEC'!G$14)/G30-1))</f>
        <v/>
      </c>
      <c r="AD30" s="291"/>
      <c r="AE30" s="78">
        <f>IF(ISERROR((H30-I30)/I30),"",IF(H$3=I$3,(H30-I30)/I30,H30*('Data From SEC'!H$14/'Data From SEC'!I$14)/I30-1))</f>
        <v>5.7957153787299293E-2</v>
      </c>
      <c r="AF30" s="78">
        <f>IF(ISERROR((I30-J30)/J30),"",IF(I$3=J$3,(I30-J30)/J30,I30*('Data From SEC'!I$14/'Data From SEC'!J$14)/J30-1))</f>
        <v>1.3374685016476017E-2</v>
      </c>
      <c r="AG30" s="78">
        <f>IF(ISERROR((J30-K30)/K30),"",IF(J$3=K$3,(J30-K30)/K30,J30*('Data From SEC'!J$14/'Data From SEC'!K$14)/K30-1))</f>
        <v>0.1130528586839266</v>
      </c>
      <c r="AH30" s="78">
        <f>IF(ISERROR((K30-L30)/L30),"",IF(K$3=L$3,(K30-L30)/L30,K30*('Data From SEC'!K$14/'Data From SEC'!L$14)/L30-1))</f>
        <v>-5.850091407678247E-2</v>
      </c>
      <c r="AI30" s="23" t="str">
        <f>IF(ISERROR((L30-M30)/M30),"",IF(L$3=M$4,(L30-M30)/M30,L30*('Data From SEC'!L$14/'Data From SEC'!M$14)/M30-1))</f>
        <v/>
      </c>
      <c r="AJ30" s="94">
        <f t="shared" si="31"/>
        <v>3.8932692591463113E-2</v>
      </c>
      <c r="AK30" s="94">
        <f t="shared" si="22"/>
        <v>4.8808791573141129E-2</v>
      </c>
      <c r="AL30" s="94">
        <f t="shared" si="23"/>
        <v>6.6418297195333653E-2</v>
      </c>
      <c r="AM30" s="94">
        <f t="shared" si="24"/>
        <v>7.9951891438888437E-2</v>
      </c>
      <c r="AN30" s="94">
        <f t="shared" si="25"/>
        <v>9.757181778514501E-2</v>
      </c>
      <c r="AO30" s="274"/>
      <c r="AP30" s="94">
        <f t="shared" si="26"/>
        <v>6.7130303913001274E-2</v>
      </c>
      <c r="AQ30" s="94">
        <f t="shared" si="27"/>
        <v>6.6439609597397323E-2</v>
      </c>
      <c r="AR30" s="94">
        <f t="shared" si="28"/>
        <v>7.2202317639814134E-2</v>
      </c>
      <c r="AS30" s="94">
        <f t="shared" si="29"/>
        <v>7.0301835279842254E-2</v>
      </c>
      <c r="AT30" s="95">
        <f t="shared" si="30"/>
        <v>7.846793860278295E-2</v>
      </c>
    </row>
    <row r="31" spans="1:46" x14ac:dyDescent="0.15">
      <c r="A31" s="57" t="s">
        <v>25</v>
      </c>
      <c r="B31" s="308">
        <f>SUM(B26:B30)</f>
        <v>423900</v>
      </c>
      <c r="C31" s="308">
        <f>SUM(C26:C30)</f>
        <v>607758</v>
      </c>
      <c r="D31" s="308">
        <f>SUM(D26:D30)</f>
        <v>657679</v>
      </c>
      <c r="E31" s="308">
        <f>SUM(E26:E30)</f>
        <v>624497</v>
      </c>
      <c r="F31" s="308">
        <f>SUM(F26:F30)</f>
        <v>554394</v>
      </c>
      <c r="G31" s="255"/>
      <c r="H31" s="308">
        <f>SUM(H26:H30)</f>
        <v>4468.5</v>
      </c>
      <c r="I31" s="308">
        <f>SUM(I26:I30)</f>
        <v>4825.2</v>
      </c>
      <c r="J31" s="308">
        <f>SUM(J26:J30)</f>
        <v>4297.2</v>
      </c>
      <c r="K31" s="308">
        <f>SUM(K26:K30)</f>
        <v>3855.1</v>
      </c>
      <c r="L31" s="308">
        <f>SUM(L26:L30)</f>
        <v>3686.5</v>
      </c>
      <c r="M31" s="272"/>
      <c r="N31" s="72">
        <f t="shared" si="12"/>
        <v>0.4365161909508618</v>
      </c>
      <c r="O31" s="72">
        <f t="shared" si="13"/>
        <v>0.52199253803130452</v>
      </c>
      <c r="P31" s="72">
        <f t="shared" si="14"/>
        <v>0.48915414611724756</v>
      </c>
      <c r="Q31" s="72">
        <f t="shared" si="15"/>
        <v>0.50432901306900824</v>
      </c>
      <c r="R31" s="72">
        <f t="shared" si="16"/>
        <v>0.47162398979157805</v>
      </c>
      <c r="S31" s="273"/>
      <c r="T31" s="72">
        <f t="shared" si="17"/>
        <v>0.41450224481466369</v>
      </c>
      <c r="U31" s="72">
        <f t="shared" si="18"/>
        <v>0.43990226825176865</v>
      </c>
      <c r="V31" s="72">
        <f t="shared" si="19"/>
        <v>0.42205132738147849</v>
      </c>
      <c r="W31" s="72">
        <f t="shared" si="20"/>
        <v>0.39687654422665125</v>
      </c>
      <c r="X31" s="84">
        <f t="shared" si="21"/>
        <v>0.41844494892167988</v>
      </c>
      <c r="Y31" s="74">
        <f>IF(ISERROR((B31-C31)/C31),"",IF(B$3=C$3,(B31-C31)/C31,B31*('Data From SEC'!B$14/'Data From SEC'!C$14)/C31-1))</f>
        <v>-0.30251843661457356</v>
      </c>
      <c r="Z31" s="74">
        <f>IF(ISERROR((C31-D31)/D31),"",IF(C$3=D$3,(C31-D31)/D31,C31*('Data From SEC'!C$14/'Data From SEC'!D$14)/D31-1))</f>
        <v>-7.5904810705526557E-2</v>
      </c>
      <c r="AA31" s="74">
        <f>IF(ISERROR((D31-E31)/E31),"",IF(D$3=E$3,(D31-E31)/E31,D31*('Data From SEC'!D$14/'Data From SEC'!E$14)/E31-1))</f>
        <v>5.3133962212788856E-2</v>
      </c>
      <c r="AB31" s="74">
        <f>IF(ISERROR((E31-F31)/F31),"",IF(E$3=F$3,(E31-F31)/F31,E31*('Data From SEC'!E$14/'Data From SEC'!F$14)/F31-1))</f>
        <v>0.12644978120253828</v>
      </c>
      <c r="AC31" s="74" t="str">
        <f>IF(ISERROR((F31-G31)/G31),"",IF(F$3=G$4,(F31-G31)/G31,F31*('Data From SEC'!F$14/'Data From SEC'!G$14)/G31-1))</f>
        <v/>
      </c>
      <c r="AD31" s="290"/>
      <c r="AE31" s="296">
        <f>IF(ISERROR((H31-I31)/I31),"",IF(H$3=I$3,(H31-I31)/I31,H31*('Data From SEC'!H$14/'Data From SEC'!I$14)/I31-1))</f>
        <v>-7.3924396916189974E-2</v>
      </c>
      <c r="AF31" s="74">
        <f>IF(ISERROR((I31-J31)/J31),"",IF(I$3=J$3,(I31-J31)/J31,I31*('Data From SEC'!I$14/'Data From SEC'!J$14)/J31-1))</f>
        <v>0.12287070650656241</v>
      </c>
      <c r="AG31" s="74">
        <f>IF(ISERROR((J31-K31)/K31),"",IF(J$3=K$3,(J31-K31)/K31,J31*('Data From SEC'!J$14/'Data From SEC'!K$14)/K31-1))</f>
        <v>0.11467925605042668</v>
      </c>
      <c r="AH31" s="74">
        <f>IF(ISERROR((K31-L31)/L31),"",IF(K$3=L$3,(K31-L31)/L31,K31*('Data From SEC'!K$14/'Data From SEC'!L$14)/L31-1))</f>
        <v>4.5734436457344339E-2</v>
      </c>
      <c r="AI31" s="22" t="str">
        <f>IF(ISERROR((L31-M31)/M31),"",IF(L$3=M$4,(L31-M31)/M31,L31*('Data From SEC'!L$14/'Data From SEC'!M$14)/M31-1))</f>
        <v/>
      </c>
      <c r="AJ31" s="92">
        <f t="shared" si="31"/>
        <v>0.52125859541774466</v>
      </c>
      <c r="AK31" s="92">
        <f t="shared" si="22"/>
        <v>0.572463884150471</v>
      </c>
      <c r="AL31" s="92">
        <f t="shared" si="23"/>
        <v>0.59586838109251161</v>
      </c>
      <c r="AM31" s="92">
        <f t="shared" si="24"/>
        <v>0.58541800640072594</v>
      </c>
      <c r="AN31" s="92">
        <f t="shared" si="25"/>
        <v>0.64853767443383947</v>
      </c>
      <c r="AO31" s="273"/>
      <c r="AP31" s="92">
        <f t="shared" si="26"/>
        <v>0.5423463443052724</v>
      </c>
      <c r="AQ31" s="92">
        <f t="shared" si="27"/>
        <v>0.61320658804392036</v>
      </c>
      <c r="AR31" s="92">
        <f t="shared" si="28"/>
        <v>0.60141073727817274</v>
      </c>
      <c r="AS31" s="92">
        <f t="shared" si="29"/>
        <v>0.5847262247838616</v>
      </c>
      <c r="AT31" s="93">
        <f t="shared" si="30"/>
        <v>0.58759304419898306</v>
      </c>
    </row>
    <row r="32" spans="1:46" x14ac:dyDescent="0.15">
      <c r="A32" s="57" t="s">
        <v>109</v>
      </c>
      <c r="B32" s="306">
        <f>'Data From SEC'!B64</f>
        <v>105821</v>
      </c>
      <c r="C32" s="306">
        <f>'Data From SEC'!C64</f>
        <v>116806</v>
      </c>
      <c r="D32" s="306">
        <f>'Data From SEC'!D64</f>
        <v>106588</v>
      </c>
      <c r="E32" s="306">
        <f>'Data From SEC'!E64</f>
        <v>89438</v>
      </c>
      <c r="F32" s="306">
        <f>'Data From SEC'!F64</f>
        <v>82762</v>
      </c>
      <c r="G32" s="253"/>
      <c r="H32" s="306">
        <f>'Data From SEC'!H64</f>
        <v>1490.2</v>
      </c>
      <c r="I32" s="306">
        <f>'Data From SEC'!I64</f>
        <v>1502.6</v>
      </c>
      <c r="J32" s="306">
        <f>'Data From SEC'!J64</f>
        <v>1350.7</v>
      </c>
      <c r="K32" s="306">
        <f>'Data From SEC'!K64</f>
        <v>1231.8</v>
      </c>
      <c r="L32" s="306">
        <f>'Data From SEC'!L64</f>
        <v>1143.0999999999999</v>
      </c>
      <c r="M32" s="272"/>
      <c r="N32" s="72">
        <f t="shared" si="12"/>
        <v>0.10897046436096049</v>
      </c>
      <c r="O32" s="72">
        <f t="shared" si="13"/>
        <v>0.10032259616045294</v>
      </c>
      <c r="P32" s="72">
        <f t="shared" si="14"/>
        <v>7.9275698519103058E-2</v>
      </c>
      <c r="Q32" s="72">
        <f t="shared" si="15"/>
        <v>7.2228014339325824E-2</v>
      </c>
      <c r="R32" s="72">
        <f t="shared" si="16"/>
        <v>7.0405784772437266E-2</v>
      </c>
      <c r="S32" s="273"/>
      <c r="T32" s="72">
        <f t="shared" si="17"/>
        <v>0.13823234759378131</v>
      </c>
      <c r="U32" s="72">
        <f t="shared" si="18"/>
        <v>0.13698854933994603</v>
      </c>
      <c r="V32" s="72">
        <f t="shared" si="19"/>
        <v>0.13265957551293006</v>
      </c>
      <c r="W32" s="72">
        <f t="shared" si="20"/>
        <v>0.12681189260418382</v>
      </c>
      <c r="X32" s="84">
        <f t="shared" si="21"/>
        <v>0.12975028376844494</v>
      </c>
      <c r="Y32" s="74">
        <f>IF(ISERROR((B32-C32)/C32),"",IF(B$3=C$3,(B32-C32)/C32,B32*('Data From SEC'!B$14/'Data From SEC'!C$14)/C32-1))</f>
        <v>-9.4044826464393952E-2</v>
      </c>
      <c r="Z32" s="74">
        <f>IF(ISERROR((C32-D32)/D32),"",IF(C$3=D$3,(C32-D32)/D32,C32*('Data From SEC'!C$14/'Data From SEC'!D$14)/D32-1))</f>
        <v>9.5864450031898529E-2</v>
      </c>
      <c r="AA32" s="74">
        <f>IF(ISERROR((D32-E32)/E32),"",IF(D$3=E$3,(D32-E32)/E32,D32*('Data From SEC'!D$14/'Data From SEC'!E$14)/E32-1))</f>
        <v>0.19175294617500391</v>
      </c>
      <c r="AB32" s="74">
        <f>IF(ISERROR((E32-F32)/F32),"",IF(E$3=F$3,(E32-F32)/F32,E32*('Data From SEC'!E$14/'Data From SEC'!F$14)/F32-1))</f>
        <v>8.0665039510886632E-2</v>
      </c>
      <c r="AC32" s="74" t="str">
        <f>IF(ISERROR((F32-G32)/G32),"",IF(F$3=G$4,(F32-G32)/G32,F32*('Data From SEC'!F$14/'Data From SEC'!G$14)/G32-1))</f>
        <v/>
      </c>
      <c r="AD32" s="290"/>
      <c r="AE32" s="296">
        <f>IF(ISERROR((H32-I32)/I32),"",IF(H$3=I$3,(H32-I32)/I32,H32*('Data From SEC'!H$14/'Data From SEC'!I$14)/I32-1))</f>
        <v>-8.2523625715425694E-3</v>
      </c>
      <c r="AF32" s="74">
        <f>IF(ISERROR((I32-J32)/J32),"",IF(I$3=J$3,(I32-J32)/J32,I32*('Data From SEC'!I$14/'Data From SEC'!J$14)/J32-1))</f>
        <v>0.11246020581920475</v>
      </c>
      <c r="AG32" s="74">
        <f>IF(ISERROR((J32-K32)/K32),"",IF(J$3=K$3,(J32-K32)/K32,J32*('Data From SEC'!J$14/'Data From SEC'!K$14)/K32-1))</f>
        <v>9.6525409969150919E-2</v>
      </c>
      <c r="AH32" s="74">
        <f>IF(ISERROR((K32-L32)/L32),"",IF(K$3=L$3,(K32-L32)/L32,K32*('Data From SEC'!K$14/'Data From SEC'!L$14)/L32-1))</f>
        <v>7.7596010847694907E-2</v>
      </c>
      <c r="AI32" s="22" t="str">
        <f>IF(ISERROR((L32-M32)/M32),"",IF(L$3=M$4,(L32-M32)/M32,L32*('Data From SEC'!L$14/'Data From SEC'!M$14)/M32-1))</f>
        <v/>
      </c>
      <c r="AJ32" s="92">
        <f t="shared" si="31"/>
        <v>0.13012527913588384</v>
      </c>
      <c r="AK32" s="92">
        <f t="shared" si="22"/>
        <v>0.11002276638411985</v>
      </c>
      <c r="AL32" s="92">
        <f t="shared" si="23"/>
        <v>9.6570544298797176E-2</v>
      </c>
      <c r="AM32" s="92">
        <f t="shared" si="24"/>
        <v>8.3841260496796827E-2</v>
      </c>
      <c r="AN32" s="92">
        <f t="shared" si="25"/>
        <v>9.6816118160538214E-2</v>
      </c>
      <c r="AO32" s="273"/>
      <c r="AP32" s="92">
        <f t="shared" si="26"/>
        <v>0.18086707447324987</v>
      </c>
      <c r="AQ32" s="92">
        <f t="shared" si="27"/>
        <v>0.19095668971126475</v>
      </c>
      <c r="AR32" s="92">
        <f t="shared" si="28"/>
        <v>0.18903599619324862</v>
      </c>
      <c r="AS32" s="92">
        <f t="shared" si="29"/>
        <v>0.18683452146215682</v>
      </c>
      <c r="AT32" s="93">
        <f t="shared" si="30"/>
        <v>0.18219926999155228</v>
      </c>
    </row>
    <row r="33" spans="1:46" x14ac:dyDescent="0.15">
      <c r="A33" s="57" t="s">
        <v>106</v>
      </c>
      <c r="B33" s="306">
        <f>'Data From SEC'!B65+'Data From SEC'!B66+'Data From SEC'!B67+'Data From SEC'!B69</f>
        <v>280764</v>
      </c>
      <c r="C33" s="306">
        <f>'Data From SEC'!C65+'Data From SEC'!C66+'Data From SEC'!C67+'Data From SEC'!C69</f>
        <v>331876</v>
      </c>
      <c r="D33" s="306">
        <f>'Data From SEC'!D65+'Data From SEC'!D66+'Data From SEC'!D67+'Data From SEC'!D69</f>
        <v>338023</v>
      </c>
      <c r="E33" s="306">
        <f>'Data From SEC'!E65+'Data From SEC'!E66+'Data From SEC'!E67+'Data From SEC'!E69</f>
        <v>350953</v>
      </c>
      <c r="F33" s="306">
        <f>'Data From SEC'!F65+'Data From SEC'!F66+'Data From SEC'!F67+'Data From SEC'!F69</f>
        <v>215160</v>
      </c>
      <c r="G33" s="253"/>
      <c r="H33" s="306">
        <f>'Data From SEC'!H67+'Data From SEC'!H68+'Data From SEC'!H69</f>
        <v>1860.2</v>
      </c>
      <c r="I33" s="306">
        <f>'Data From SEC'!I67+'Data From SEC'!I68+'Data From SEC'!I69</f>
        <v>1527.4</v>
      </c>
      <c r="J33" s="306">
        <f>'Data From SEC'!J67+'Data From SEC'!J68+'Data From SEC'!J69</f>
        <v>1497.3</v>
      </c>
      <c r="K33" s="306">
        <f>'Data From SEC'!K67+'Data From SEC'!K68+'Data From SEC'!K69</f>
        <v>1506.1</v>
      </c>
      <c r="L33" s="306">
        <f>'Data From SEC'!L67+'Data From SEC'!L68+'Data From SEC'!L69</f>
        <v>1444.3</v>
      </c>
      <c r="M33" s="272"/>
      <c r="N33" s="72">
        <f t="shared" si="12"/>
        <v>0.28912015059242219</v>
      </c>
      <c r="O33" s="72">
        <f t="shared" si="13"/>
        <v>0.28504239442619794</v>
      </c>
      <c r="P33" s="72">
        <f t="shared" si="14"/>
        <v>0.2514073764450292</v>
      </c>
      <c r="Q33" s="72">
        <f t="shared" si="15"/>
        <v>0.28342134569678901</v>
      </c>
      <c r="R33" s="72">
        <f t="shared" si="16"/>
        <v>0.1830370055295619</v>
      </c>
      <c r="S33" s="273"/>
      <c r="T33" s="72">
        <f t="shared" si="17"/>
        <v>0.1725538941041149</v>
      </c>
      <c r="U33" s="72">
        <f t="shared" si="18"/>
        <v>0.13924950769455183</v>
      </c>
      <c r="V33" s="72">
        <f t="shared" si="19"/>
        <v>0.14705795692271426</v>
      </c>
      <c r="W33" s="72">
        <f t="shared" si="20"/>
        <v>0.1550506506341624</v>
      </c>
      <c r="X33" s="84">
        <f t="shared" si="21"/>
        <v>0.16393870601589103</v>
      </c>
      <c r="Y33" s="74">
        <f>IF(ISERROR((B33-C33)/C33),"",IF(B$3=C$3,(B33-C33)/C33,B33*('Data From SEC'!B$14/'Data From SEC'!C$14)/C33-1))</f>
        <v>-0.15400932878544998</v>
      </c>
      <c r="Z33" s="74">
        <f>IF(ISERROR((C33-D33)/D33),"",IF(C$3=D$3,(C33-D33)/D33,C33*('Data From SEC'!C$14/'Data From SEC'!D$14)/D33-1))</f>
        <v>-1.8185153081299203E-2</v>
      </c>
      <c r="AA33" s="74">
        <f>IF(ISERROR((D33-E33)/E33),"",IF(D$3=E$3,(D33-E33)/E33,D33*('Data From SEC'!D$14/'Data From SEC'!E$14)/E33-1))</f>
        <v>-3.6842540169196449E-2</v>
      </c>
      <c r="AB33" s="74">
        <f>IF(ISERROR((E33-F33)/F33),"",IF(E$3=F$3,(E33-F33)/F33,E33*('Data From SEC'!E$14/'Data From SEC'!F$14)/F33-1))</f>
        <v>0.63112567391708496</v>
      </c>
      <c r="AC33" s="74" t="str">
        <f>IF(ISERROR((F33-G33)/G33),"",IF(F$3=G$4,(F33-G33)/G33,F33*('Data From SEC'!F$14/'Data From SEC'!G$14)/G33-1))</f>
        <v/>
      </c>
      <c r="AD33" s="290"/>
      <c r="AE33" s="296">
        <f>IF(ISERROR((H33-I33)/I33),"",IF(H$3=I$3,(H33-I33)/I33,H33*('Data From SEC'!H$14/'Data From SEC'!I$14)/I33-1))</f>
        <v>0.21788660468770454</v>
      </c>
      <c r="AF33" s="74">
        <f>IF(ISERROR((I33-J33)/J33),"",IF(I$3=J$3,(I33-J33)/J33,I33*('Data From SEC'!I$14/'Data From SEC'!J$14)/J33-1))</f>
        <v>2.010285179990659E-2</v>
      </c>
      <c r="AG33" s="74">
        <f>IF(ISERROR((J33-K33)/K33),"",IF(J$3=K$3,(J33-K33)/K33,J33*('Data From SEC'!J$14/'Data From SEC'!K$14)/K33-1))</f>
        <v>-5.8429055175618846E-3</v>
      </c>
      <c r="AH33" s="74">
        <f>IF(ISERROR((K33-L33)/L33),"",IF(K$3=L$3,(K33-L33)/L33,K33*('Data From SEC'!K$14/'Data From SEC'!L$14)/L33-1))</f>
        <v>4.2788894274042762E-2</v>
      </c>
      <c r="AI33" s="22" t="str">
        <f>IF(ISERROR((L33-M33)/M33),"",IF(L$3=M$4,(L33-M33)/M33,L33*('Data From SEC'!L$14/'Data From SEC'!M$14)/M33-1))</f>
        <v/>
      </c>
      <c r="AJ33" s="92">
        <f t="shared" si="31"/>
        <v>0.34524804973783363</v>
      </c>
      <c r="AK33" s="92">
        <f t="shared" si="22"/>
        <v>0.31260308217468419</v>
      </c>
      <c r="AL33" s="92">
        <f t="shared" si="23"/>
        <v>0.30625459803647986</v>
      </c>
      <c r="AM33" s="92">
        <f t="shared" si="24"/>
        <v>0.32899150132082938</v>
      </c>
      <c r="AN33" s="92">
        <f t="shared" si="25"/>
        <v>0.25169710716779925</v>
      </c>
      <c r="AO33" s="273"/>
      <c r="AP33" s="92">
        <f t="shared" si="26"/>
        <v>0.22577434702398294</v>
      </c>
      <c r="AQ33" s="92">
        <f t="shared" si="27"/>
        <v>0.19410837738918263</v>
      </c>
      <c r="AR33" s="92">
        <f t="shared" si="28"/>
        <v>0.20955326652857861</v>
      </c>
      <c r="AS33" s="92">
        <f t="shared" si="29"/>
        <v>0.22843925375398147</v>
      </c>
      <c r="AT33" s="93">
        <f t="shared" si="30"/>
        <v>0.23020768580946457</v>
      </c>
    </row>
    <row r="34" spans="1:46" x14ac:dyDescent="0.15">
      <c r="A34" s="57" t="s">
        <v>105</v>
      </c>
      <c r="B34" s="306">
        <f>'Data From SEC'!B68</f>
        <v>2739</v>
      </c>
      <c r="C34" s="306">
        <f>'Data From SEC'!C68</f>
        <v>5213</v>
      </c>
      <c r="D34" s="306">
        <f>'Data From SEC'!D68</f>
        <v>1442</v>
      </c>
      <c r="E34" s="306">
        <f>'Data From SEC'!E68</f>
        <v>1866</v>
      </c>
      <c r="F34" s="306">
        <f>'Data From SEC'!F68</f>
        <v>2521</v>
      </c>
      <c r="G34" s="253"/>
      <c r="H34" s="306">
        <f>'Data From SEC'!H66</f>
        <v>420.3</v>
      </c>
      <c r="I34" s="306">
        <f>'Data From SEC'!I66</f>
        <v>13.6</v>
      </c>
      <c r="J34" s="306">
        <f>'Data From SEC'!J66</f>
        <v>0</v>
      </c>
      <c r="K34" s="306">
        <f>'Data From SEC'!K66</f>
        <v>0</v>
      </c>
      <c r="L34" s="306">
        <f>'Data From SEC'!L66</f>
        <v>0</v>
      </c>
      <c r="M34" s="272"/>
      <c r="N34" s="76">
        <f t="shared" si="12"/>
        <v>2.8205186294277202E-3</v>
      </c>
      <c r="O34" s="76">
        <f t="shared" si="13"/>
        <v>4.4773529937198533E-3</v>
      </c>
      <c r="P34" s="76">
        <f t="shared" si="14"/>
        <v>1.0724993176018558E-3</v>
      </c>
      <c r="Q34" s="76">
        <f t="shared" si="15"/>
        <v>1.5069374847065226E-3</v>
      </c>
      <c r="R34" s="76">
        <f t="shared" si="16"/>
        <v>2.1446193109315183E-3</v>
      </c>
      <c r="S34" s="274"/>
      <c r="T34" s="76">
        <f t="shared" si="17"/>
        <v>3.8987421617008647E-2</v>
      </c>
      <c r="U34" s="76">
        <f t="shared" si="18"/>
        <v>1.2398803880096273E-3</v>
      </c>
      <c r="V34" s="76">
        <f t="shared" si="19"/>
        <v>0</v>
      </c>
      <c r="W34" s="76">
        <f t="shared" si="20"/>
        <v>0</v>
      </c>
      <c r="X34" s="85">
        <f t="shared" si="21"/>
        <v>0</v>
      </c>
      <c r="Y34" s="74">
        <f>IF(ISERROR((B34-C34)/C34),"",IF(B$3=C$3,(B34-C34)/C34,B34*('Data From SEC'!B$14/'Data From SEC'!C$14)/C34-1))</f>
        <v>-0.47458277383464414</v>
      </c>
      <c r="Z34" s="74">
        <f>IF(ISERROR((C34-D34)/D34),"",IF(C$3=D$3,(C34-D34)/D34,C34*('Data From SEC'!C$14/'Data From SEC'!D$14)/D34-1))</f>
        <v>2.6151178918169209</v>
      </c>
      <c r="AA34" s="74">
        <f>IF(ISERROR((D34-E34)/E34),"",IF(D$3=E$3,(D34-E34)/E34,D34*('Data From SEC'!D$14/'Data From SEC'!E$14)/E34-1))</f>
        <v>-0.22722400857449088</v>
      </c>
      <c r="AB34" s="74">
        <f>IF(ISERROR((E34-F34)/F34),"",IF(E$3=F$3,(E34-F34)/F34,E34*('Data From SEC'!E$14/'Data From SEC'!F$14)/F34-1))</f>
        <v>-0.2598175327251091</v>
      </c>
      <c r="AC34" s="74" t="str">
        <f>IF(ISERROR((F34-G34)/G34),"",IF(F$3=G$4,(F34-G34)/G34,F34*('Data From SEC'!F$14/'Data From SEC'!G$14)/G34-1))</f>
        <v/>
      </c>
      <c r="AD34" s="290"/>
      <c r="AE34" s="296">
        <f>IF(ISERROR((H34-I34)/I34),"",IF(H$3=I$3,(H34-I34)/I34,H34*('Data From SEC'!H$14/'Data From SEC'!I$14)/I34-1))</f>
        <v>29.904411764705884</v>
      </c>
      <c r="AF34" s="74" t="str">
        <f>IF(ISERROR((I34-J34)/J34),"",IF(I$3=J$3,(I34-J34)/J34,I34*('Data From SEC'!I$14/'Data From SEC'!J$14)/J34-1))</f>
        <v/>
      </c>
      <c r="AG34" s="74" t="str">
        <f>IF(ISERROR((J34-K34)/K34),"",IF(J$3=K$3,(J34-K34)/K34,J34*('Data From SEC'!J$14/'Data From SEC'!K$14)/K34-1))</f>
        <v/>
      </c>
      <c r="AH34" s="74" t="str">
        <f>IF(ISERROR((K34-L34)/L34),"",IF(K$3=L$3,(K34-L34)/L34,K34*('Data From SEC'!K$14/'Data From SEC'!L$14)/L34-1))</f>
        <v/>
      </c>
      <c r="AI34" s="22" t="str">
        <f>IF(ISERROR((L34-M34)/M34),"",IF(L$3=M$4,(L34-M34)/M34,L34*('Data From SEC'!L$14/'Data From SEC'!M$14)/M34-1))</f>
        <v/>
      </c>
      <c r="AJ34" s="94">
        <f t="shared" si="31"/>
        <v>3.3680757085378689E-3</v>
      </c>
      <c r="AK34" s="94">
        <f t="shared" si="22"/>
        <v>4.9102672907249357E-3</v>
      </c>
      <c r="AL34" s="94">
        <f t="shared" si="23"/>
        <v>1.3064765722113701E-3</v>
      </c>
      <c r="AM34" s="94">
        <f t="shared" si="24"/>
        <v>1.7492317816478777E-3</v>
      </c>
      <c r="AN34" s="94">
        <f t="shared" si="25"/>
        <v>2.9491002378231172E-3</v>
      </c>
      <c r="AO34" s="274"/>
      <c r="AP34" s="94">
        <f t="shared" si="26"/>
        <v>5.1012234197494913E-2</v>
      </c>
      <c r="AQ34" s="94">
        <f t="shared" si="27"/>
        <v>1.7283448556323711E-3</v>
      </c>
      <c r="AR34" s="94">
        <f t="shared" si="28"/>
        <v>0</v>
      </c>
      <c r="AS34" s="94">
        <f t="shared" si="29"/>
        <v>0</v>
      </c>
      <c r="AT34" s="95">
        <f t="shared" si="30"/>
        <v>0</v>
      </c>
    </row>
    <row r="35" spans="1:46" ht="14" thickBot="1" x14ac:dyDescent="0.2">
      <c r="A35" s="57" t="s">
        <v>26</v>
      </c>
      <c r="B35" s="309">
        <f>SUM(B31:B34)</f>
        <v>813224</v>
      </c>
      <c r="C35" s="313">
        <f>SUM(C31:C34)</f>
        <v>1061653</v>
      </c>
      <c r="D35" s="309">
        <f>SUM(D31:D34)</f>
        <v>1103732</v>
      </c>
      <c r="E35" s="309">
        <f>SUM(E31:E34)</f>
        <v>1066754</v>
      </c>
      <c r="F35" s="309">
        <f>SUM(F31:F34)</f>
        <v>854837</v>
      </c>
      <c r="G35" s="256"/>
      <c r="H35" s="309">
        <f>SUM(H31:H34)</f>
        <v>8239.1999999999989</v>
      </c>
      <c r="I35" s="313">
        <f>SUM(I31:I34)</f>
        <v>7868.7999999999993</v>
      </c>
      <c r="J35" s="309">
        <f>SUM(J31:J34)</f>
        <v>7145.2</v>
      </c>
      <c r="K35" s="309">
        <f>SUM(K31:K34)</f>
        <v>6593</v>
      </c>
      <c r="L35" s="309">
        <f>SUM(L31:L34)</f>
        <v>6273.9000000000005</v>
      </c>
      <c r="M35" s="272"/>
      <c r="N35" s="86">
        <f t="shared" si="12"/>
        <v>0.83742732453367219</v>
      </c>
      <c r="O35" s="86">
        <f t="shared" si="13"/>
        <v>0.91183488161167525</v>
      </c>
      <c r="P35" s="86">
        <f t="shared" si="14"/>
        <v>0.82090972039898169</v>
      </c>
      <c r="Q35" s="86">
        <f t="shared" si="15"/>
        <v>0.86148531058982958</v>
      </c>
      <c r="R35" s="86">
        <f t="shared" si="16"/>
        <v>0.72721139940450874</v>
      </c>
      <c r="S35" s="278"/>
      <c r="T35" s="86">
        <f t="shared" si="17"/>
        <v>0.76427590812956836</v>
      </c>
      <c r="U35" s="86">
        <f t="shared" si="18"/>
        <v>0.71738020567427607</v>
      </c>
      <c r="V35" s="86">
        <f t="shared" si="19"/>
        <v>0.70176885981712278</v>
      </c>
      <c r="W35" s="86">
        <f t="shared" si="20"/>
        <v>0.67873908746499756</v>
      </c>
      <c r="X35" s="86">
        <f t="shared" si="21"/>
        <v>0.71213393870601593</v>
      </c>
      <c r="Y35" s="87">
        <f>IF(ISERROR((B35-C35)/C35),"",IF(B$3=C$3,(B35-C35)/C35,B35*('Data From SEC'!B$14/'Data From SEC'!C$14)/C35-1))</f>
        <v>-0.2340020703563217</v>
      </c>
      <c r="Z35" s="88">
        <f>IF(ISERROR((C35-D35)/D35),"",IF(C$3=D$3,(C35-D35)/D35,C35*('Data From SEC'!C$14/'Data From SEC'!D$14)/D35-1))</f>
        <v>-3.8124291041665911E-2</v>
      </c>
      <c r="AA35" s="88">
        <f>IF(ISERROR((D35-E35)/E35),"",IF(D$3=E$3,(D35-E35)/E35,D35*('Data From SEC'!D$14/'Data From SEC'!E$14)/E35-1))</f>
        <v>3.466403688198029E-2</v>
      </c>
      <c r="AB35" s="88">
        <f>IF(ISERROR((E35-F35)/F35),"",IF(E$3=F$3,(E35-F35)/F35,E35*('Data From SEC'!E$14/'Data From SEC'!F$14)/F35-1))</f>
        <v>0.24790340146718029</v>
      </c>
      <c r="AC35" s="88" t="str">
        <f>IF(ISERROR((F35-G35)/G35),"",IF(F$3=G$4,(F35-G35)/G35,F35*('Data From SEC'!F$14/'Data From SEC'!G$14)/G35-1))</f>
        <v/>
      </c>
      <c r="AD35" s="298"/>
      <c r="AE35" s="88">
        <f>IF(ISERROR((H35-I35)/I35),"",IF(H$3=I$3,(H35-I35)/I35,H35*('Data From SEC'!H$14/'Data From SEC'!I$14)/I35-1))</f>
        <v>4.7071980479869824E-2</v>
      </c>
      <c r="AF35" s="88">
        <f>IF(ISERROR((I35-J35)/J35),"",IF(I$3=J$3,(I35-J35)/J35,I35*('Data From SEC'!I$14/'Data From SEC'!J$14)/J35-1))</f>
        <v>0.10127078318311586</v>
      </c>
      <c r="AG35" s="88">
        <f>IF(ISERROR((J35-K35)/K35),"",IF(J$3=K$3,(J35-K35)/K35,J35*('Data From SEC'!J$14/'Data From SEC'!K$14)/K35-1))</f>
        <v>8.3755498255725744E-2</v>
      </c>
      <c r="AH35" s="88">
        <f>IF(ISERROR((K35-L35)/L35),"",IF(K$3=L$3,(K35-L35)/L35,K35*('Data From SEC'!K$14/'Data From SEC'!L$14)/L35-1))</f>
        <v>5.0861505602575657E-2</v>
      </c>
      <c r="AI35" s="35" t="str">
        <f>IF(ISERROR((L35-M35)/M35),"",IF(L$3=M$4,(L35-M35)/M35,L35*('Data From SEC'!L$14/'Data From SEC'!M$14)/M35-1))</f>
        <v/>
      </c>
      <c r="AJ35" s="96">
        <f t="shared" si="31"/>
        <v>1</v>
      </c>
      <c r="AK35" s="96">
        <f t="shared" si="22"/>
        <v>1</v>
      </c>
      <c r="AL35" s="96">
        <f t="shared" si="23"/>
        <v>1</v>
      </c>
      <c r="AM35" s="96">
        <f t="shared" si="24"/>
        <v>1</v>
      </c>
      <c r="AN35" s="96">
        <f t="shared" si="25"/>
        <v>1</v>
      </c>
      <c r="AO35" s="278"/>
      <c r="AP35" s="96">
        <f t="shared" si="26"/>
        <v>1</v>
      </c>
      <c r="AQ35" s="96">
        <f t="shared" si="27"/>
        <v>1</v>
      </c>
      <c r="AR35" s="96">
        <f t="shared" si="28"/>
        <v>1</v>
      </c>
      <c r="AS35" s="96">
        <f t="shared" si="29"/>
        <v>1</v>
      </c>
      <c r="AT35" s="97">
        <f t="shared" si="30"/>
        <v>1</v>
      </c>
    </row>
    <row r="36" spans="1:46" ht="14" thickTop="1" x14ac:dyDescent="0.15">
      <c r="A36" s="16"/>
      <c r="B36" s="314"/>
      <c r="C36" s="306"/>
      <c r="D36" s="306"/>
      <c r="E36" s="306"/>
      <c r="F36" s="306"/>
      <c r="G36" s="257"/>
      <c r="H36" s="306"/>
      <c r="I36" s="306"/>
      <c r="J36" s="306"/>
      <c r="K36" s="306"/>
      <c r="L36" s="306"/>
      <c r="M36" s="257"/>
      <c r="N36" s="18"/>
      <c r="O36" s="18"/>
      <c r="P36" s="18"/>
      <c r="Q36" s="18"/>
      <c r="R36" s="18"/>
      <c r="S36" s="276"/>
      <c r="T36" s="18"/>
      <c r="U36" s="18"/>
      <c r="V36" s="18"/>
      <c r="W36" s="18"/>
      <c r="X36" s="18"/>
      <c r="Y36" s="19"/>
      <c r="Z36" s="20"/>
      <c r="AA36" s="20"/>
      <c r="AB36" s="20"/>
      <c r="AC36" s="20"/>
      <c r="AD36" s="293"/>
      <c r="AE36" s="295"/>
      <c r="AF36" s="20"/>
      <c r="AG36" s="20"/>
      <c r="AH36" s="20"/>
      <c r="AI36" s="22"/>
      <c r="AJ36" s="92">
        <f t="shared" si="31"/>
        <v>0</v>
      </c>
      <c r="AK36" s="92">
        <f t="shared" si="22"/>
        <v>0</v>
      </c>
      <c r="AL36" s="92">
        <f t="shared" si="23"/>
        <v>0</v>
      </c>
      <c r="AM36" s="92">
        <f t="shared" si="24"/>
        <v>0</v>
      </c>
      <c r="AN36" s="92">
        <f t="shared" si="25"/>
        <v>0</v>
      </c>
      <c r="AO36" s="273"/>
      <c r="AP36" s="92">
        <f t="shared" si="26"/>
        <v>0</v>
      </c>
      <c r="AQ36" s="92">
        <f t="shared" si="27"/>
        <v>0</v>
      </c>
      <c r="AR36" s="92">
        <f t="shared" si="28"/>
        <v>0</v>
      </c>
      <c r="AS36" s="92">
        <f t="shared" si="29"/>
        <v>0</v>
      </c>
      <c r="AT36" s="93">
        <f t="shared" si="30"/>
        <v>0</v>
      </c>
    </row>
    <row r="37" spans="1:46" ht="14" x14ac:dyDescent="0.15">
      <c r="A37" s="241" t="s">
        <v>27</v>
      </c>
      <c r="B37" s="306"/>
      <c r="C37" s="306"/>
      <c r="D37" s="306"/>
      <c r="E37" s="306"/>
      <c r="F37" s="306"/>
      <c r="G37" s="257"/>
      <c r="H37" s="306"/>
      <c r="I37" s="306"/>
      <c r="J37" s="306"/>
      <c r="K37" s="306"/>
      <c r="L37" s="306"/>
      <c r="M37" s="257"/>
      <c r="N37" s="18"/>
      <c r="O37" s="18"/>
      <c r="P37" s="18"/>
      <c r="Q37" s="18"/>
      <c r="R37" s="18"/>
      <c r="S37" s="276"/>
      <c r="T37" s="18"/>
      <c r="U37" s="18"/>
      <c r="V37" s="18"/>
      <c r="W37" s="18"/>
      <c r="X37" s="18"/>
      <c r="Y37" s="19"/>
      <c r="Z37" s="20"/>
      <c r="AA37" s="20"/>
      <c r="AB37" s="20"/>
      <c r="AC37" s="20"/>
      <c r="AD37" s="293"/>
      <c r="AE37" s="295"/>
      <c r="AF37" s="20"/>
      <c r="AG37" s="20"/>
      <c r="AH37" s="20"/>
      <c r="AI37" s="22"/>
      <c r="AJ37" s="92">
        <f t="shared" si="31"/>
        <v>0</v>
      </c>
      <c r="AK37" s="92">
        <f t="shared" si="22"/>
        <v>0</v>
      </c>
      <c r="AL37" s="92">
        <f t="shared" si="23"/>
        <v>0</v>
      </c>
      <c r="AM37" s="92">
        <f t="shared" si="24"/>
        <v>0</v>
      </c>
      <c r="AN37" s="92">
        <f t="shared" si="25"/>
        <v>0</v>
      </c>
      <c r="AO37" s="273"/>
      <c r="AP37" s="92">
        <f t="shared" si="26"/>
        <v>0</v>
      </c>
      <c r="AQ37" s="92">
        <f t="shared" si="27"/>
        <v>0</v>
      </c>
      <c r="AR37" s="92">
        <f t="shared" si="28"/>
        <v>0</v>
      </c>
      <c r="AS37" s="92">
        <f t="shared" si="29"/>
        <v>0</v>
      </c>
      <c r="AT37" s="93">
        <f t="shared" si="30"/>
        <v>0</v>
      </c>
    </row>
    <row r="38" spans="1:46" x14ac:dyDescent="0.15">
      <c r="A38" s="57" t="s">
        <v>28</v>
      </c>
      <c r="B38" s="306">
        <f>'Data From SEC'!B74</f>
        <v>92699</v>
      </c>
      <c r="C38" s="306">
        <f>'Data From SEC'!C74</f>
        <v>81660</v>
      </c>
      <c r="D38" s="306">
        <f>'Data From SEC'!D74</f>
        <v>115180</v>
      </c>
      <c r="E38" s="306">
        <f>'Data From SEC'!E74</f>
        <v>77961</v>
      </c>
      <c r="F38" s="306">
        <f>'Data From SEC'!F74</f>
        <v>47951</v>
      </c>
      <c r="G38" s="253"/>
      <c r="H38" s="306">
        <f>'Data From SEC'!H74</f>
        <v>635.4</v>
      </c>
      <c r="I38" s="306">
        <f>'Data From SEC'!I74</f>
        <v>524.5</v>
      </c>
      <c r="J38" s="306">
        <f>'Data From SEC'!J74</f>
        <v>481.7</v>
      </c>
      <c r="K38" s="306">
        <f>'Data From SEC'!K74</f>
        <v>493.8</v>
      </c>
      <c r="L38" s="306">
        <f>'Data From SEC'!L74</f>
        <v>446.7</v>
      </c>
      <c r="M38" s="272"/>
      <c r="N38" s="72">
        <f t="shared" ref="N38:N51" si="32">IF(ISERROR(B38/B$6),"",B38/B$6)</f>
        <v>9.5457924946812781E-2</v>
      </c>
      <c r="O38" s="72">
        <f t="shared" ref="O38:O51" si="33">IF(ISERROR(C38/C$6),"",C38/C$6)</f>
        <v>7.0136321785375641E-2</v>
      </c>
      <c r="P38" s="72">
        <f t="shared" ref="P38:P51" si="34">IF(ISERROR(D38/D$6),"",D38/D$6)</f>
        <v>8.5666068932997053E-2</v>
      </c>
      <c r="Q38" s="72">
        <f t="shared" ref="Q38:Q51" si="35">IF(ISERROR(E38/E$6),"",E38/E$6)</f>
        <v>6.2959460474386511E-2</v>
      </c>
      <c r="R38" s="72">
        <f t="shared" ref="R38:R51" si="36">IF(ISERROR(F38/F$6),"",F38/F$6)</f>
        <v>4.0792003402807316E-2</v>
      </c>
      <c r="S38" s="273"/>
      <c r="T38" s="72">
        <f t="shared" ref="T38:T51" si="37">IF(ISERROR(H38/H$6),"",H38/H$6)</f>
        <v>5.8940299061259326E-2</v>
      </c>
      <c r="U38" s="72">
        <f t="shared" ref="U38:U51" si="38">IF(ISERROR(I38/I$6),"",I38/I$6)</f>
        <v>4.7817445846400707E-2</v>
      </c>
      <c r="V38" s="72">
        <f t="shared" ref="V38:V51" si="39">IF(ISERROR(J38/J$6),"",J38/J$6)</f>
        <v>4.7310370566801214E-2</v>
      </c>
      <c r="W38" s="72">
        <f t="shared" ref="W38:W51" si="40">IF(ISERROR(K38/K$6),"",K38/K$6)</f>
        <v>5.0835941360566628E-2</v>
      </c>
      <c r="X38" s="72">
        <f t="shared" ref="X38:X51" si="41">IF(ISERROR(L38/L$6),"",L38/L$6)</f>
        <v>5.0703745743473326E-2</v>
      </c>
      <c r="Y38" s="73">
        <f>IF(ISERROR((B38-C38)/C38),"",IF(B$3=C$3,(B38-C38)/C38,B38*('Data From SEC'!B$14/'Data From SEC'!C$14)/C38-1))</f>
        <v>0.135182463874602</v>
      </c>
      <c r="Z38" s="74">
        <f>IF(ISERROR((C38-D38)/D38),"",IF(C$3=D$3,(C38-D38)/D38,C38*('Data From SEC'!C$14/'Data From SEC'!D$14)/D38-1))</f>
        <v>-0.29102274700468833</v>
      </c>
      <c r="AA38" s="74">
        <f>IF(ISERROR((D38-E38)/E38),"",IF(D$3=E$3,(D38-E38)/E38,D38*('Data From SEC'!D$14/'Data From SEC'!E$14)/E38-1))</f>
        <v>0.47740536935134231</v>
      </c>
      <c r="AB38" s="74">
        <f>IF(ISERROR((E38-F38)/F38),"",IF(E$3=F$3,(E38-F38)/F38,E38*('Data From SEC'!E$14/'Data From SEC'!F$14)/F38-1))</f>
        <v>0.6258472190360993</v>
      </c>
      <c r="AC38" s="74" t="str">
        <f>IF(ISERROR((F38-G38)/G38),"",IF(F$3=G$4,(F38-G38)/G38,F38*('Data From SEC'!F$14/'Data From SEC'!G$14)/G38-1))</f>
        <v/>
      </c>
      <c r="AD38" s="290"/>
      <c r="AE38" s="296">
        <f>IF(ISERROR((H38-I38)/I38),"",IF(H$3=I$3,(H38-I38)/I38,H38*('Data From SEC'!H$14/'Data From SEC'!I$14)/I38-1))</f>
        <v>0.21143946615824591</v>
      </c>
      <c r="AF38" s="74">
        <f>IF(ISERROR((I38-J38)/J38),"",IF(I$3=J$3,(I38-J38)/J38,I38*('Data From SEC'!I$14/'Data From SEC'!J$14)/J38-1))</f>
        <v>8.8851982561760454E-2</v>
      </c>
      <c r="AG38" s="74">
        <f>IF(ISERROR((J38-K38)/K38),"",IF(J$3=K$3,(J38-K38)/K38,J38*('Data From SEC'!J$14/'Data From SEC'!K$14)/K38-1))</f>
        <v>-2.4503847711624185E-2</v>
      </c>
      <c r="AH38" s="74">
        <f>IF(ISERROR((K38-L38)/L38),"",IF(K$3=L$3,(K38-L38)/L38,K38*('Data From SEC'!K$14/'Data From SEC'!L$14)/L38-1))</f>
        <v>0.10543989254533249</v>
      </c>
      <c r="AI38" s="22" t="str">
        <f>IF(ISERROR((L38-M38)/M38),"",IF(L$3=M$4,(L38-M38)/M38,L38*('Data From SEC'!L$14/'Data From SEC'!M$14)/M38-1))</f>
        <v/>
      </c>
      <c r="AJ38" s="92">
        <f t="shared" si="31"/>
        <v>0.11398950350702881</v>
      </c>
      <c r="AK38" s="92">
        <f t="shared" si="22"/>
        <v>7.6917787638710572E-2</v>
      </c>
      <c r="AL38" s="92">
        <f t="shared" si="23"/>
        <v>0.10435504270964328</v>
      </c>
      <c r="AM38" s="92">
        <f t="shared" si="24"/>
        <v>7.3082453874089057E-2</v>
      </c>
      <c r="AN38" s="92">
        <f t="shared" si="25"/>
        <v>5.6093734828979093E-2</v>
      </c>
      <c r="AO38" s="273"/>
      <c r="AP38" s="92">
        <f t="shared" si="26"/>
        <v>7.7119137780367039E-2</v>
      </c>
      <c r="AQ38" s="92">
        <f t="shared" si="27"/>
        <v>6.6655652704351365E-2</v>
      </c>
      <c r="AR38" s="92">
        <f t="shared" si="28"/>
        <v>6.7415887588870849E-2</v>
      </c>
      <c r="AS38" s="92">
        <f t="shared" si="29"/>
        <v>7.4897618686485673E-2</v>
      </c>
      <c r="AT38" s="93">
        <f t="shared" si="30"/>
        <v>7.1199732223975506E-2</v>
      </c>
    </row>
    <row r="39" spans="1:46" x14ac:dyDescent="0.15">
      <c r="A39" s="57" t="s">
        <v>29</v>
      </c>
      <c r="B39" s="306">
        <f>'Data From SEC'!B75</f>
        <v>114978</v>
      </c>
      <c r="C39" s="306">
        <f>'Data From SEC'!C75</f>
        <v>111953</v>
      </c>
      <c r="D39" s="306">
        <f>'Data From SEC'!D75</f>
        <v>90179</v>
      </c>
      <c r="E39" s="306">
        <f>'Data From SEC'!E75</f>
        <v>111518</v>
      </c>
      <c r="F39" s="306">
        <f>'Data From SEC'!F75</f>
        <v>117546</v>
      </c>
      <c r="G39" s="253"/>
      <c r="H39" s="306">
        <f>'Data From SEC'!H76</f>
        <v>1470.4</v>
      </c>
      <c r="I39" s="306">
        <f>'Data From SEC'!I76</f>
        <v>1513.8</v>
      </c>
      <c r="J39" s="306">
        <f>'Data From SEC'!J76</f>
        <v>1353.3</v>
      </c>
      <c r="K39" s="306">
        <f>'Data From SEC'!K76</f>
        <v>1315.8</v>
      </c>
      <c r="L39" s="306">
        <f>'Data From SEC'!L76</f>
        <v>1296.3</v>
      </c>
      <c r="M39" s="272"/>
      <c r="N39" s="72">
        <f t="shared" si="32"/>
        <v>0.11839999670476101</v>
      </c>
      <c r="O39" s="72">
        <f t="shared" si="33"/>
        <v>9.6154440764611299E-2</v>
      </c>
      <c r="P39" s="72">
        <f t="shared" si="34"/>
        <v>6.7071370292661414E-2</v>
      </c>
      <c r="Q39" s="72">
        <f t="shared" si="35"/>
        <v>9.0059300331994635E-2</v>
      </c>
      <c r="R39" s="72">
        <f t="shared" si="36"/>
        <v>9.9996597192683959E-2</v>
      </c>
      <c r="S39" s="273"/>
      <c r="T39" s="72">
        <f t="shared" si="37"/>
        <v>0.13639568105079591</v>
      </c>
      <c r="U39" s="72">
        <f t="shared" si="38"/>
        <v>0.1380096273065422</v>
      </c>
      <c r="V39" s="72">
        <f t="shared" si="39"/>
        <v>0.13291493561978843</v>
      </c>
      <c r="W39" s="72">
        <f t="shared" si="40"/>
        <v>0.1354595618514248</v>
      </c>
      <c r="X39" s="72">
        <f t="shared" si="41"/>
        <v>0.14713961407491485</v>
      </c>
      <c r="Y39" s="73">
        <f>IF(ISERROR((B39-C39)/C39),"",IF(B$3=C$3,(B39-C39)/C39,B39*('Data From SEC'!B$14/'Data From SEC'!C$14)/C39-1))</f>
        <v>2.7020267433655196E-2</v>
      </c>
      <c r="Z39" s="74">
        <f>IF(ISERROR((C39-D39)/D39),"",IF(C$3=D$3,(C39-D39)/D39,C39*('Data From SEC'!C$14/'Data From SEC'!D$14)/D39-1))</f>
        <v>0.2414531099258142</v>
      </c>
      <c r="AA39" s="74">
        <f>IF(ISERROR((D39-E39)/E39),"",IF(D$3=E$3,(D39-E39)/E39,D39*('Data From SEC'!D$14/'Data From SEC'!E$14)/E39-1))</f>
        <v>-0.19135027529188114</v>
      </c>
      <c r="AB39" s="74">
        <f>IF(ISERROR((E39-F39)/F39),"",IF(E$3=F$3,(E39-F39)/F39,E39*('Data From SEC'!E$14/'Data From SEC'!F$14)/F39-1))</f>
        <v>-5.128205128205128E-2</v>
      </c>
      <c r="AC39" s="74" t="str">
        <f>IF(ISERROR((F39-G39)/G39),"",IF(F$3=G$4,(F39-G39)/G39,F39*('Data From SEC'!F$14/'Data From SEC'!G$14)/G39-1))</f>
        <v/>
      </c>
      <c r="AD39" s="290"/>
      <c r="AE39" s="296">
        <f>IF(ISERROR((H39-I39)/I39),"",IF(H$3=I$3,(H39-I39)/I39,H39*('Data From SEC'!H$14/'Data From SEC'!I$14)/I39-1))</f>
        <v>-2.8669573259347249E-2</v>
      </c>
      <c r="AF39" s="74">
        <f>IF(ISERROR((I39-J39)/J39),"",IF(I$3=J$3,(I39-J39)/J39,I39*('Data From SEC'!I$14/'Data From SEC'!J$14)/J39-1))</f>
        <v>0.11859898027045002</v>
      </c>
      <c r="AG39" s="74">
        <f>IF(ISERROR((J39-K39)/K39),"",IF(J$3=K$3,(J39-K39)/K39,J39*('Data From SEC'!J$14/'Data From SEC'!K$14)/K39-1))</f>
        <v>2.8499772001823985E-2</v>
      </c>
      <c r="AH39" s="74">
        <f>IF(ISERROR((K39-L39)/L39),"",IF(K$3=L$3,(K39-L39)/L39,K39*('Data From SEC'!K$14/'Data From SEC'!L$14)/L39-1))</f>
        <v>1.5042814163388105E-2</v>
      </c>
      <c r="AI39" s="22" t="str">
        <f>IF(ISERROR((L39-M39)/M39),"",IF(L$3=M$4,(L39-M39)/M39,L39*('Data From SEC'!L$14/'Data From SEC'!M$14)/M39-1))</f>
        <v/>
      </c>
      <c r="AJ39" s="92">
        <f t="shared" si="31"/>
        <v>0.14138539934876493</v>
      </c>
      <c r="AK39" s="92">
        <f t="shared" si="22"/>
        <v>0.10545159294044287</v>
      </c>
      <c r="AL39" s="92">
        <f t="shared" si="23"/>
        <v>8.1703710683390537E-2</v>
      </c>
      <c r="AM39" s="92">
        <f t="shared" si="24"/>
        <v>0.10453956582304824</v>
      </c>
      <c r="AN39" s="92">
        <f t="shared" si="25"/>
        <v>0.13750691652326702</v>
      </c>
      <c r="AO39" s="273"/>
      <c r="AP39" s="92">
        <f t="shared" si="26"/>
        <v>0.17846392853675117</v>
      </c>
      <c r="AQ39" s="92">
        <f t="shared" si="27"/>
        <v>0.19238003253355024</v>
      </c>
      <c r="AR39" s="92">
        <f t="shared" si="28"/>
        <v>0.18939987684039636</v>
      </c>
      <c r="AS39" s="92">
        <f t="shared" si="29"/>
        <v>0.19957530714394053</v>
      </c>
      <c r="AT39" s="93">
        <f t="shared" si="30"/>
        <v>0.20661789317649307</v>
      </c>
    </row>
    <row r="40" spans="1:46" x14ac:dyDescent="0.15">
      <c r="A40" s="57" t="s">
        <v>30</v>
      </c>
      <c r="B40" s="307">
        <f>'Data From SEC'!B73</f>
        <v>8300</v>
      </c>
      <c r="C40" s="307">
        <f>'Data From SEC'!C73</f>
        <v>80418</v>
      </c>
      <c r="D40" s="307">
        <f>'Data From SEC'!D73</f>
        <v>88000</v>
      </c>
      <c r="E40" s="307">
        <f>'Data From SEC'!E73</f>
        <v>89200</v>
      </c>
      <c r="F40" s="307" t="str">
        <f>'Data From SEC'!F73</f>
        <v>  </v>
      </c>
      <c r="G40" s="254"/>
      <c r="H40" s="307">
        <f>'Data From SEC'!H73+'Data From SEC'!H75</f>
        <v>29.8</v>
      </c>
      <c r="I40" s="307">
        <f>'Data From SEC'!I73+'Data From SEC'!I75</f>
        <v>18.399999999999999</v>
      </c>
      <c r="J40" s="307">
        <f>'Data From SEC'!J73+'Data From SEC'!J75</f>
        <v>99.6</v>
      </c>
      <c r="K40" s="307">
        <f>'Data From SEC'!K73+'Data From SEC'!K75</f>
        <v>316.2</v>
      </c>
      <c r="L40" s="307">
        <f>'Data From SEC'!L73+'Data From SEC'!L75</f>
        <v>200.3</v>
      </c>
      <c r="M40" s="253"/>
      <c r="N40" s="76">
        <f t="shared" si="32"/>
        <v>8.5470261497809698E-3</v>
      </c>
      <c r="O40" s="76">
        <f t="shared" si="33"/>
        <v>6.9069590072695794E-2</v>
      </c>
      <c r="P40" s="76">
        <f t="shared" si="34"/>
        <v>6.5450721185134064E-2</v>
      </c>
      <c r="Q40" s="76">
        <f t="shared" si="35"/>
        <v>7.2035811166035274E-2</v>
      </c>
      <c r="R40" s="76" t="str">
        <f t="shared" si="36"/>
        <v/>
      </c>
      <c r="S40" s="274"/>
      <c r="T40" s="76">
        <f t="shared" si="37"/>
        <v>2.7642759081295686E-3</v>
      </c>
      <c r="U40" s="76">
        <f t="shared" si="38"/>
        <v>1.6774852308365546E-3</v>
      </c>
      <c r="V40" s="76">
        <f t="shared" si="39"/>
        <v>9.7822564011903704E-3</v>
      </c>
      <c r="W40" s="76">
        <f t="shared" si="40"/>
        <v>3.2552297809257121E-2</v>
      </c>
      <c r="X40" s="76">
        <f t="shared" si="41"/>
        <v>2.2735527809307605E-2</v>
      </c>
      <c r="Y40" s="77">
        <f>IF(ISERROR((B40-C40)/C40),"",IF(B$3=C$3,(B40-C40)/C40,B40*('Data From SEC'!B$14/'Data From SEC'!C$14)/C40-1))</f>
        <v>-0.89678927603272895</v>
      </c>
      <c r="Z40" s="78">
        <f>IF(ISERROR((C40-D40)/D40),"",IF(C$3=D$3,(C40-D40)/D40,C40*('Data From SEC'!C$14/'Data From SEC'!D$14)/D40-1))</f>
        <v>-8.6159090909090907E-2</v>
      </c>
      <c r="AA40" s="78">
        <f>IF(ISERROR((D40-E40)/E40),"",IF(D$3=E$3,(D40-E40)/E40,D40*('Data From SEC'!D$14/'Data From SEC'!E$14)/E40-1))</f>
        <v>-1.3452914798206279E-2</v>
      </c>
      <c r="AB40" s="78" t="str">
        <f>IF(ISERROR((E40-F40)/F40),"",IF(E$3=F$3,(E40-F40)/F40,E40*('Data From SEC'!E$14/'Data From SEC'!F$14)/F40-1))</f>
        <v/>
      </c>
      <c r="AC40" s="78" t="str">
        <f>IF(ISERROR((F40-G40)/G40),"",IF(F$3=G$4,(F40-G40)/G40,F40*('Data From SEC'!F$14/'Data From SEC'!G$14)/G40-1))</f>
        <v/>
      </c>
      <c r="AD40" s="291"/>
      <c r="AE40" s="78">
        <f>IF(ISERROR((H40-I40)/I40),"",IF(H$3=I$3,(H40-I40)/I40,H40*('Data From SEC'!H$14/'Data From SEC'!I$14)/I40-1))</f>
        <v>0.61956521739130455</v>
      </c>
      <c r="AF40" s="78">
        <f>IF(ISERROR((I40-J40)/J40),"",IF(I$3=J$3,(I40-J40)/J40,I40*('Data From SEC'!I$14/'Data From SEC'!J$14)/J40-1))</f>
        <v>-0.81526104417670675</v>
      </c>
      <c r="AG40" s="78">
        <f>IF(ISERROR((J40-K40)/K40),"",IF(J$3=K$3,(J40-K40)/K40,J40*('Data From SEC'!J$14/'Data From SEC'!K$14)/K40-1))</f>
        <v>-0.6850094876660342</v>
      </c>
      <c r="AH40" s="78">
        <f>IF(ISERROR((K40-L40)/L40),"",IF(K$3=L$3,(K40-L40)/L40,K40*('Data From SEC'!K$14/'Data From SEC'!L$14)/L40-1))</f>
        <v>0.57863205192211664</v>
      </c>
      <c r="AI40" s="23" t="str">
        <f>IF(ISERROR((L40-M40)/M40),"",IF(L$3=M$4,(L40-M40)/M40,L40*('Data From SEC'!L$14/'Data From SEC'!M$14)/M40-1))</f>
        <v/>
      </c>
      <c r="AJ40" s="94">
        <f t="shared" si="31"/>
        <v>1.020629002587233E-2</v>
      </c>
      <c r="AK40" s="94">
        <f t="shared" si="22"/>
        <v>7.5747913866395136E-2</v>
      </c>
      <c r="AL40" s="94">
        <f t="shared" si="23"/>
        <v>7.9729499552427585E-2</v>
      </c>
      <c r="AM40" s="94">
        <f t="shared" si="24"/>
        <v>8.3618153763660594E-2</v>
      </c>
      <c r="AN40" s="94" t="str">
        <f t="shared" si="25"/>
        <v/>
      </c>
      <c r="AO40" s="274"/>
      <c r="AP40" s="94">
        <f t="shared" si="26"/>
        <v>3.6168560054374217E-3</v>
      </c>
      <c r="AQ40" s="94">
        <f t="shared" si="27"/>
        <v>2.3383489223261487E-3</v>
      </c>
      <c r="AR40" s="94">
        <f t="shared" si="28"/>
        <v>1.3939427867659407E-2</v>
      </c>
      <c r="AS40" s="94">
        <f t="shared" si="29"/>
        <v>4.7959957530714394E-2</v>
      </c>
      <c r="AT40" s="95">
        <f t="shared" si="30"/>
        <v>3.1925915299893207E-2</v>
      </c>
    </row>
    <row r="41" spans="1:46" ht="13.5" customHeight="1" x14ac:dyDescent="0.15">
      <c r="A41" s="57" t="s">
        <v>31</v>
      </c>
      <c r="B41" s="308">
        <f>SUM(B38:B40)</f>
        <v>215977</v>
      </c>
      <c r="C41" s="308">
        <f>SUM(C38:C40)</f>
        <v>274031</v>
      </c>
      <c r="D41" s="308">
        <f>SUM(D38:D40)</f>
        <v>293359</v>
      </c>
      <c r="E41" s="308">
        <f>SUM(E38:E40)</f>
        <v>278679</v>
      </c>
      <c r="F41" s="308">
        <f>SUM(F38:F40)</f>
        <v>165497</v>
      </c>
      <c r="G41" s="255"/>
      <c r="H41" s="308">
        <f>SUM(H38:H40)</f>
        <v>2135.6000000000004</v>
      </c>
      <c r="I41" s="308">
        <f>SUM(I38:I40)</f>
        <v>2056.6999999999998</v>
      </c>
      <c r="J41" s="308">
        <f>SUM(J38:J40)</f>
        <v>1934.6</v>
      </c>
      <c r="K41" s="308">
        <f>SUM(K38:K40)</f>
        <v>2125.7999999999997</v>
      </c>
      <c r="L41" s="308">
        <f>SUM(L38:L40)</f>
        <v>1943.3</v>
      </c>
      <c r="M41" s="272"/>
      <c r="N41" s="72">
        <f t="shared" si="32"/>
        <v>0.22240494780135475</v>
      </c>
      <c r="O41" s="72">
        <f t="shared" si="33"/>
        <v>0.23536035262268273</v>
      </c>
      <c r="P41" s="72">
        <f t="shared" si="34"/>
        <v>0.21818816041079253</v>
      </c>
      <c r="Q41" s="72">
        <f t="shared" si="35"/>
        <v>0.22505457197241643</v>
      </c>
      <c r="R41" s="72">
        <f t="shared" si="36"/>
        <v>0.14078860059549128</v>
      </c>
      <c r="S41" s="273"/>
      <c r="T41" s="72">
        <f t="shared" si="37"/>
        <v>0.19810025602018483</v>
      </c>
      <c r="U41" s="72">
        <f t="shared" si="38"/>
        <v>0.18750455838377944</v>
      </c>
      <c r="V41" s="72">
        <f t="shared" si="39"/>
        <v>0.19000756258778001</v>
      </c>
      <c r="W41" s="72">
        <f t="shared" si="40"/>
        <v>0.21884780102124851</v>
      </c>
      <c r="X41" s="72">
        <f t="shared" si="41"/>
        <v>0.22057888762769579</v>
      </c>
      <c r="Y41" s="73">
        <f>IF(ISERROR((B41-C41)/C41),"",IF(B$3=C$3,(B41-C41)/C41,B41*('Data From SEC'!B$14/'Data From SEC'!C$14)/C41-1))</f>
        <v>-0.21185194375818794</v>
      </c>
      <c r="Z41" s="74">
        <f>IF(ISERROR((C41-D41)/D41),"",IF(C$3=D$3,(C41-D41)/D41,C41*('Data From SEC'!C$14/'Data From SEC'!D$14)/D41-1))</f>
        <v>-6.588514414079677E-2</v>
      </c>
      <c r="AA41" s="74">
        <f>IF(ISERROR((D41-E41)/E41),"",IF(D$3=E$3,(D41-E41)/E41,D41*('Data From SEC'!D$14/'Data From SEC'!E$14)/E41-1))</f>
        <v>5.2677094434815684E-2</v>
      </c>
      <c r="AB41" s="74">
        <f>IF(ISERROR((E41-F41)/F41),"",IF(E$3=F$3,(E41-F41)/F41,E41*('Data From SEC'!E$14/'Data From SEC'!F$14)/F41-1))</f>
        <v>0.68389155090424603</v>
      </c>
      <c r="AC41" s="74" t="str">
        <f>IF(ISERROR((F41-G41)/G41),"",IF(F$3=G$4,(F41-G41)/G41,F41*('Data From SEC'!F$14/'Data From SEC'!G$14)/G41-1))</f>
        <v/>
      </c>
      <c r="AD41" s="290"/>
      <c r="AE41" s="296">
        <f>IF(ISERROR((H41-I41)/I41),"",IF(H$3=I$3,(H41-I41)/I41,H41*('Data From SEC'!H$14/'Data From SEC'!I$14)/I41-1))</f>
        <v>3.8362425244323699E-2</v>
      </c>
      <c r="AF41" s="74">
        <f>IF(ISERROR((I41-J41)/J41),"",IF(I$3=J$3,(I41-J41)/J41,I41*('Data From SEC'!I$14/'Data From SEC'!J$14)/J41-1))</f>
        <v>6.3113821978703563E-2</v>
      </c>
      <c r="AG41" s="74">
        <f>IF(ISERROR((J41-K41)/K41),"",IF(J$3=K$3,(J41-K41)/K41,J41*('Data From SEC'!J$14/'Data From SEC'!K$14)/K41-1))</f>
        <v>-8.9942609841000956E-2</v>
      </c>
      <c r="AH41" s="74">
        <f>IF(ISERROR((K41-L41)/L41),"",IF(K$3=L$3,(K41-L41)/L41,K41*('Data From SEC'!K$14/'Data From SEC'!L$14)/L41-1))</f>
        <v>9.391241702259033E-2</v>
      </c>
      <c r="AI41" s="22" t="str">
        <f>IF(ISERROR((L41-M41)/M41),"",IF(L$3=M$4,(L41-M41)/M41,L41*('Data From SEC'!L$14/'Data From SEC'!M$14)/M41-1))</f>
        <v/>
      </c>
      <c r="AJ41" s="92">
        <f t="shared" si="31"/>
        <v>0.26558119288166604</v>
      </c>
      <c r="AK41" s="92">
        <f t="shared" si="22"/>
        <v>0.2581172944455486</v>
      </c>
      <c r="AL41" s="92">
        <f t="shared" si="23"/>
        <v>0.26578825294546138</v>
      </c>
      <c r="AM41" s="92">
        <f t="shared" si="24"/>
        <v>0.26124017346079792</v>
      </c>
      <c r="AN41" s="92">
        <f t="shared" si="25"/>
        <v>0.19360065135224611</v>
      </c>
      <c r="AO41" s="273"/>
      <c r="AP41" s="92">
        <f t="shared" si="26"/>
        <v>0.25919992232255568</v>
      </c>
      <c r="AQ41" s="92">
        <f t="shared" si="27"/>
        <v>0.26137403416022775</v>
      </c>
      <c r="AR41" s="92">
        <f t="shared" si="28"/>
        <v>0.27075519229692663</v>
      </c>
      <c r="AS41" s="92">
        <f t="shared" si="29"/>
        <v>0.32243288336114057</v>
      </c>
      <c r="AT41" s="93">
        <f t="shared" si="30"/>
        <v>0.30974354070036181</v>
      </c>
    </row>
    <row r="42" spans="1:46" ht="13.5" customHeight="1" x14ac:dyDescent="0.15">
      <c r="A42" s="57" t="s">
        <v>110</v>
      </c>
      <c r="B42" s="306">
        <f>'Data From SEC'!B79</f>
        <v>355634</v>
      </c>
      <c r="C42" s="306">
        <f>'Data From SEC'!C79</f>
        <v>356432</v>
      </c>
      <c r="D42" s="306">
        <f>'Data From SEC'!D79</f>
        <v>250000</v>
      </c>
      <c r="E42" s="306">
        <f>'Data From SEC'!E79</f>
        <v>250000</v>
      </c>
      <c r="F42" s="306">
        <f>'Data From SEC'!F79</f>
        <v>250000</v>
      </c>
      <c r="G42" s="253"/>
      <c r="H42" s="365">
        <f>'Data From SEC'!H79+'Data From SEC'!H81+'Data From SEC'!H82</f>
        <v>2449.3000000000002</v>
      </c>
      <c r="I42" s="365">
        <f>'Data From SEC'!I79+'Data From SEC'!I81+'Data From SEC'!I82</f>
        <v>1942.7</v>
      </c>
      <c r="J42" s="365">
        <f>'Data From SEC'!J79+'Data From SEC'!J81+'Data From SEC'!J82</f>
        <v>1828.1</v>
      </c>
      <c r="K42" s="365">
        <f>'Data From SEC'!K79+'Data From SEC'!K81+'Data From SEC'!K82</f>
        <v>1613.3999999999999</v>
      </c>
      <c r="L42" s="365">
        <f>'Data From SEC'!L79+'Data From SEC'!L81+'Data From SEC'!L82</f>
        <v>1683.6</v>
      </c>
      <c r="M42" s="272"/>
      <c r="N42" s="72">
        <f>IF(ISERROR(B42/B$6),"",B42/B$6)</f>
        <v>0.3662184455121934</v>
      </c>
      <c r="O42" s="72">
        <f>IF(ISERROR(C42/C$6),"",C42/C$6)</f>
        <v>0.30613310613035771</v>
      </c>
      <c r="P42" s="72">
        <f>IF(ISERROR(D42/D$6),"",D42/D$6)</f>
        <v>0.18593954882140357</v>
      </c>
      <c r="Q42" s="72">
        <f>IF(ISERROR(E42/E$6),"",E42/E$6)</f>
        <v>0.20189408959090605</v>
      </c>
      <c r="R42" s="72">
        <f>IF(ISERROR(F42/F$6),"",F42/F$6)</f>
        <v>0.21267545725223308</v>
      </c>
      <c r="S42" s="273"/>
      <c r="T42" s="72">
        <f>IF(ISERROR(H42/H$6),"",H42/H$6)</f>
        <v>0.22719936180475681</v>
      </c>
      <c r="U42" s="72">
        <f>IF(ISERROR(I42/I$6),"",I42/I$6)</f>
        <v>0.17711144336663995</v>
      </c>
      <c r="V42" s="72">
        <f>IF(ISERROR(J42/J$6),"",J42/J$6)</f>
        <v>0.17954761974915778</v>
      </c>
      <c r="W42" s="72">
        <f>IF(ISERROR(K42/K$6),"",K42/K$6)</f>
        <v>0.16609701861307855</v>
      </c>
      <c r="X42" s="72">
        <f>IF(ISERROR(L42/L$6),"",L42/L$6)</f>
        <v>0.1911010215664018</v>
      </c>
      <c r="Y42" s="73">
        <f>IF(ISERROR((B42-C42)/C42),"",IF(B$3=C$3,(B42-C42)/C42,B42*('Data From SEC'!B$14/'Data From SEC'!C$14)/C42-1))</f>
        <v>-2.2388562194191317E-3</v>
      </c>
      <c r="Z42" s="74">
        <f>IF(ISERROR((C42-D42)/D42),"",IF(C$3=D$3,(C42-D42)/D42,C42*('Data From SEC'!C$14/'Data From SEC'!D$14)/D42-1))</f>
        <v>0.425728</v>
      </c>
      <c r="AA42" s="74">
        <f>IF(ISERROR((D42-E42)/E42),"",IF(D$3=E$3,(D42-E42)/E42,D42*('Data From SEC'!D$14/'Data From SEC'!E$14)/E42-1))</f>
        <v>0</v>
      </c>
      <c r="AB42" s="74">
        <f>IF(ISERROR((E42-F42)/F42),"",IF(E$3=F$3,(E42-F42)/F42,E42*('Data From SEC'!E$14/'Data From SEC'!F$14)/F42-1))</f>
        <v>0</v>
      </c>
      <c r="AC42" s="74" t="str">
        <f>IF(ISERROR((F42-G42)/G42),"",IF(F$3=G$4,(F42-G42)/G42,F42*('Data From SEC'!F$14/'Data From SEC'!G$14)/G42-1))</f>
        <v/>
      </c>
      <c r="AD42" s="290"/>
      <c r="AE42" s="296">
        <f>IF(ISERROR((H42-I42)/I42),"",IF(H$3=I$3,(H42-I42)/I42,H42*('Data From SEC'!H$14/'Data From SEC'!I$14)/I42-1))</f>
        <v>0.26077109177948221</v>
      </c>
      <c r="AF42" s="74">
        <f>IF(ISERROR((I42-J42)/J42),"",IF(I$3=J$3,(I42-J42)/J42,I42*('Data From SEC'!I$14/'Data From SEC'!J$14)/J42-1))</f>
        <v>6.2688036759477136E-2</v>
      </c>
      <c r="AG42" s="74">
        <f>IF(ISERROR((J42-K42)/K42),"",IF(J$3=K$3,(J42-K42)/K42,J42*('Data From SEC'!J$14/'Data From SEC'!K$14)/K42-1))</f>
        <v>0.13307301351183839</v>
      </c>
      <c r="AH42" s="74">
        <f>IF(ISERROR((K42-L42)/L42),"",IF(K$3=L$3,(K42-L42)/L42,K42*('Data From SEC'!K$14/'Data From SEC'!L$14)/L42-1))</f>
        <v>-4.1696364932287983E-2</v>
      </c>
      <c r="AI42" s="22" t="str">
        <f>IF(ISERROR((L42-M42)/M42),"",IF(L$3=M$4,(L42-M42)/M42,L42*('Data From SEC'!L$14/'Data From SEC'!M$14)/M42-1))</f>
        <v/>
      </c>
      <c r="AJ42" s="92">
        <f>IF(ISERROR(B42/B$35),"",B42/B$35)</f>
        <v>0.43731370446519041</v>
      </c>
      <c r="AK42" s="92">
        <f>IF(ISERROR(C42/C$35),"",C42/C$35)</f>
        <v>0.33573305025276623</v>
      </c>
      <c r="AL42" s="92">
        <f>IF(ISERROR(D42/D$35),"",D42/D$35)</f>
        <v>0.22650426009212382</v>
      </c>
      <c r="AM42" s="92">
        <f>IF(ISERROR(E42/E$35),"",E42/E$35)</f>
        <v>0.23435581211788284</v>
      </c>
      <c r="AN42" s="92">
        <f>IF(ISERROR(F42/F$35),"",F42/F$35)</f>
        <v>0.29245341509550943</v>
      </c>
      <c r="AO42" s="273"/>
      <c r="AP42" s="92">
        <f>IF(ISERROR(H42/H$35),"",H42/H$35)</f>
        <v>0.29727400718516367</v>
      </c>
      <c r="AQ42" s="92">
        <f>IF(ISERROR(I42/I$35),"",I42/I$35)</f>
        <v>0.24688643757625053</v>
      </c>
      <c r="AR42" s="92">
        <f>IF(ISERROR(J42/J$35),"",J42/J$35)</f>
        <v>0.2558500811733751</v>
      </c>
      <c r="AS42" s="92">
        <f>IF(ISERROR(K42/K$35),"",K42/K$35)</f>
        <v>0.24471409070225994</v>
      </c>
      <c r="AT42" s="93">
        <f>IF(ISERROR(L42/L$35),"",L42/L$35)</f>
        <v>0.26834983024912729</v>
      </c>
    </row>
    <row r="43" spans="1:46" x14ac:dyDescent="0.15">
      <c r="A43" s="57" t="s">
        <v>120</v>
      </c>
      <c r="B43" s="307">
        <f>'Data From SEC'!B80</f>
        <v>54901</v>
      </c>
      <c r="C43" s="307">
        <f>'Data From SEC'!C80</f>
        <v>54648</v>
      </c>
      <c r="D43" s="307">
        <f>'Data From SEC'!D80</f>
        <v>45091</v>
      </c>
      <c r="E43" s="307">
        <f>'Data From SEC'!E80</f>
        <v>56348</v>
      </c>
      <c r="F43" s="307">
        <f>'Data From SEC'!F80</f>
        <v>21575</v>
      </c>
      <c r="G43" s="254"/>
      <c r="H43" s="371">
        <f>+'Data From SEC'!H80</f>
        <v>0</v>
      </c>
      <c r="I43" s="371">
        <f>+'Data From SEC'!I80</f>
        <v>0</v>
      </c>
      <c r="J43" s="371">
        <f>+'Data From SEC'!J80</f>
        <v>80.599999999999994</v>
      </c>
      <c r="K43" s="371">
        <f>+'Data From SEC'!K80</f>
        <v>106.3</v>
      </c>
      <c r="L43" s="371">
        <f>+'Data From SEC'!L80</f>
        <v>0</v>
      </c>
      <c r="M43" s="272"/>
      <c r="N43" s="76">
        <f t="shared" si="32"/>
        <v>5.6534973813147593E-2</v>
      </c>
      <c r="O43" s="76">
        <f t="shared" si="33"/>
        <v>4.69361953579134E-2</v>
      </c>
      <c r="P43" s="76">
        <f t="shared" si="34"/>
        <v>3.3536800783623637E-2</v>
      </c>
      <c r="Q43" s="76">
        <f t="shared" si="35"/>
        <v>4.5505312641073492E-2</v>
      </c>
      <c r="R43" s="76">
        <f t="shared" si="36"/>
        <v>1.8353891960867716E-2</v>
      </c>
      <c r="S43" s="274"/>
      <c r="T43" s="76">
        <f t="shared" si="37"/>
        <v>0</v>
      </c>
      <c r="U43" s="76">
        <f t="shared" si="38"/>
        <v>0</v>
      </c>
      <c r="V43" s="76">
        <f t="shared" si="39"/>
        <v>7.9161633126098776E-3</v>
      </c>
      <c r="W43" s="76">
        <f t="shared" si="40"/>
        <v>1.0943419535496622E-2</v>
      </c>
      <c r="X43" s="76">
        <f t="shared" si="41"/>
        <v>0</v>
      </c>
      <c r="Y43" s="77">
        <f>IF(ISERROR((B43-C43)/C43),"",IF(B$3=C$3,(B43-C43)/C43,B43*('Data From SEC'!B$14/'Data From SEC'!C$14)/C43-1))</f>
        <v>4.6296296296296294E-3</v>
      </c>
      <c r="Z43" s="78">
        <f>IF(ISERROR((C43-D43)/D43),"",IF(C$3=D$3,(C43-D43)/D43,C43*('Data From SEC'!C$14/'Data From SEC'!D$14)/D43-1))</f>
        <v>0.21194916945731965</v>
      </c>
      <c r="AA43" s="78">
        <f>IF(ISERROR((D43-E43)/E43),"",IF(D$3=E$3,(D43-E43)/E43,D43*('Data From SEC'!D$14/'Data From SEC'!E$14)/E43-1))</f>
        <v>-0.19977638957904451</v>
      </c>
      <c r="AB43" s="78">
        <f>IF(ISERROR((E43-F43)/F43),"",IF(E$3=F$3,(E43-F43)/F43,E43*('Data From SEC'!E$14/'Data From SEC'!F$14)/F43-1))</f>
        <v>1.6117265353418309</v>
      </c>
      <c r="AC43" s="78" t="str">
        <f>IF(ISERROR((F43-G43)/G43),"",IF(F$3=G$4,(F43-G43)/G43,F43*('Data From SEC'!F$14/'Data From SEC'!G$14)/G43-1))</f>
        <v/>
      </c>
      <c r="AD43" s="291"/>
      <c r="AE43" s="78" t="str">
        <f>IF(ISERROR((H43-I43)/I43),"",IF(H$3=I$3,(H43-I43)/I43,H43*('Data From SEC'!H$14/'Data From SEC'!I$14)/I43-1))</f>
        <v/>
      </c>
      <c r="AF43" s="78">
        <f>IF(ISERROR((I43-J43)/J43),"",IF(I$3=J$3,(I43-J43)/J43,I43*('Data From SEC'!I$14/'Data From SEC'!J$14)/J43-1))</f>
        <v>-1</v>
      </c>
      <c r="AG43" s="78">
        <f>IF(ISERROR((J43-K43)/K43),"",IF(J$3=K$3,(J43-K43)/K43,J43*('Data From SEC'!J$14/'Data From SEC'!K$14)/K43-1))</f>
        <v>-0.24176857949200378</v>
      </c>
      <c r="AH43" s="78" t="str">
        <f>IF(ISERROR((K43-L43)/L43),"",IF(K$3=L$3,(K43-L43)/L43,K43*('Data From SEC'!K$14/'Data From SEC'!L$14)/L43-1))</f>
        <v/>
      </c>
      <c r="AI43" s="23" t="str">
        <f>IF(ISERROR((L43-M43)/M43),"",IF(L$3=M$4,(L43-M43)/M43,L43*('Data From SEC'!L$14/'Data From SEC'!M$14)/M43-1))</f>
        <v/>
      </c>
      <c r="AJ43" s="94">
        <f t="shared" si="31"/>
        <v>6.7510304663905646E-2</v>
      </c>
      <c r="AK43" s="94">
        <f t="shared" si="22"/>
        <v>5.1474445981879204E-2</v>
      </c>
      <c r="AL43" s="94">
        <f t="shared" si="23"/>
        <v>4.0853214367255822E-2</v>
      </c>
      <c r="AM43" s="94">
        <f t="shared" si="24"/>
        <v>5.2821925204873853E-2</v>
      </c>
      <c r="AN43" s="94">
        <f t="shared" si="25"/>
        <v>2.5238729722742465E-2</v>
      </c>
      <c r="AO43" s="274"/>
      <c r="AP43" s="94">
        <f t="shared" si="26"/>
        <v>0</v>
      </c>
      <c r="AQ43" s="94">
        <f t="shared" si="27"/>
        <v>0</v>
      </c>
      <c r="AR43" s="94">
        <f t="shared" si="28"/>
        <v>1.1280300061579802E-2</v>
      </c>
      <c r="AS43" s="94">
        <f t="shared" si="29"/>
        <v>1.6123160928257243E-2</v>
      </c>
      <c r="AT43" s="95">
        <f t="shared" si="30"/>
        <v>0</v>
      </c>
    </row>
    <row r="44" spans="1:46" x14ac:dyDescent="0.15">
      <c r="A44" s="57" t="s">
        <v>32</v>
      </c>
      <c r="B44" s="308">
        <f>SUM(B41:B43)</f>
        <v>626512</v>
      </c>
      <c r="C44" s="308">
        <f>SUM(C41:C43)</f>
        <v>685111</v>
      </c>
      <c r="D44" s="308">
        <f>SUM(D41:D43)</f>
        <v>588450</v>
      </c>
      <c r="E44" s="308">
        <f>SUM(E41:E43)</f>
        <v>585027</v>
      </c>
      <c r="F44" s="308">
        <f>SUM(F41:F43)</f>
        <v>437072</v>
      </c>
      <c r="G44" s="255"/>
      <c r="H44" s="308">
        <f>SUM(H41:H43)</f>
        <v>4584.9000000000005</v>
      </c>
      <c r="I44" s="308">
        <f>SUM(I41:I43)</f>
        <v>3999.3999999999996</v>
      </c>
      <c r="J44" s="308">
        <f>SUM(J41:J43)</f>
        <v>3843.2999999999997</v>
      </c>
      <c r="K44" s="308">
        <f>SUM(K41:K43)</f>
        <v>3845.5</v>
      </c>
      <c r="L44" s="308">
        <f>SUM(L41:L43)</f>
        <v>3626.8999999999996</v>
      </c>
      <c r="M44" s="272"/>
      <c r="N44" s="72">
        <f t="shared" si="32"/>
        <v>0.64515836712669572</v>
      </c>
      <c r="O44" s="72">
        <f t="shared" si="33"/>
        <v>0.58842965411095383</v>
      </c>
      <c r="P44" s="72">
        <f t="shared" si="34"/>
        <v>0.43766451001581974</v>
      </c>
      <c r="Q44" s="72">
        <f t="shared" si="35"/>
        <v>0.47245397420439594</v>
      </c>
      <c r="R44" s="72">
        <f t="shared" si="36"/>
        <v>0.37181794980859206</v>
      </c>
      <c r="S44" s="273"/>
      <c r="T44" s="72">
        <f t="shared" si="37"/>
        <v>0.42529961782494163</v>
      </c>
      <c r="U44" s="72">
        <f t="shared" si="38"/>
        <v>0.36461600175041936</v>
      </c>
      <c r="V44" s="72">
        <f t="shared" si="39"/>
        <v>0.37747134564954765</v>
      </c>
      <c r="W44" s="72">
        <f t="shared" si="40"/>
        <v>0.39588823916982374</v>
      </c>
      <c r="X44" s="72">
        <f t="shared" si="41"/>
        <v>0.41167990919409758</v>
      </c>
      <c r="Y44" s="73">
        <f>IF(ISERROR((B44-C44)/C44),"",IF(B$3=C$3,(B44-C44)/C44,B44*('Data From SEC'!B$14/'Data From SEC'!C$14)/C44-1))</f>
        <v>-8.5532125451204255E-2</v>
      </c>
      <c r="Z44" s="74">
        <f>IF(ISERROR((C44-D44)/D44),"",IF(C$3=D$3,(C44-D44)/D44,C44*('Data From SEC'!C$14/'Data From SEC'!D$14)/D44-1))</f>
        <v>0.16426374373353725</v>
      </c>
      <c r="AA44" s="74">
        <f>IF(ISERROR((D44-E44)/E44),"",IF(D$3=E$3,(D44-E44)/E44,D44*('Data From SEC'!D$14/'Data From SEC'!E$14)/E44-1))</f>
        <v>5.8510120045741475E-3</v>
      </c>
      <c r="AB44" s="74">
        <f>IF(ISERROR((E44-F44)/F44),"",IF(E$3=F$3,(E44-F44)/F44,E44*('Data From SEC'!E$14/'Data From SEC'!F$14)/F44-1))</f>
        <v>0.3385140205732694</v>
      </c>
      <c r="AC44" s="74" t="str">
        <f>IF(ISERROR((F44-G44)/G44),"",IF(F$3=G$4,(F44-G44)/G44,F44*('Data From SEC'!F$14/'Data From SEC'!G$14)/G44-1))</f>
        <v/>
      </c>
      <c r="AD44" s="290"/>
      <c r="AE44" s="296">
        <f>IF(ISERROR((H44-I44)/I44),"",IF(H$3=I$3,(H44-I44)/I44,H44*('Data From SEC'!H$14/'Data From SEC'!I$14)/I44-1))</f>
        <v>0.14639695954393184</v>
      </c>
      <c r="AF44" s="74">
        <f>IF(ISERROR((I44-J44)/J44),"",IF(I$3=J$3,(I44-J44)/J44,I44*('Data From SEC'!I$14/'Data From SEC'!J$14)/J44-1))</f>
        <v>4.0616137173782929E-2</v>
      </c>
      <c r="AG44" s="74">
        <f>IF(ISERROR((J44-K44)/K44),"",IF(J$3=K$3,(J44-K44)/K44,J44*('Data From SEC'!J$14/'Data From SEC'!K$14)/K44-1))</f>
        <v>-5.720972565336817E-4</v>
      </c>
      <c r="AH44" s="74">
        <f>IF(ISERROR((K44-L44)/L44),"",IF(K$3=L$3,(K44-L44)/L44,K44*('Data From SEC'!K$14/'Data From SEC'!L$14)/L44-1))</f>
        <v>6.0271857509167713E-2</v>
      </c>
      <c r="AI44" s="22" t="str">
        <f>IF(ISERROR((L44-M44)/M44),"",IF(L$3=M$4,(L44-M44)/M44,L44*('Data From SEC'!L$14/'Data From SEC'!M$14)/M44-1))</f>
        <v/>
      </c>
      <c r="AJ44" s="92">
        <f t="shared" si="31"/>
        <v>0.77040520201076212</v>
      </c>
      <c r="AK44" s="92">
        <f t="shared" si="22"/>
        <v>0.64532479068019399</v>
      </c>
      <c r="AL44" s="92">
        <f t="shared" si="23"/>
        <v>0.53314572740484101</v>
      </c>
      <c r="AM44" s="92">
        <f t="shared" si="24"/>
        <v>0.54841791078355462</v>
      </c>
      <c r="AN44" s="92">
        <f t="shared" si="25"/>
        <v>0.51129279617049805</v>
      </c>
      <c r="AO44" s="273"/>
      <c r="AP44" s="92">
        <f t="shared" si="26"/>
        <v>0.55647392950771934</v>
      </c>
      <c r="AQ44" s="92">
        <f t="shared" si="27"/>
        <v>0.50826047173647826</v>
      </c>
      <c r="AR44" s="92">
        <f t="shared" si="28"/>
        <v>0.53788557353188149</v>
      </c>
      <c r="AS44" s="92">
        <f t="shared" si="29"/>
        <v>0.58327013499165781</v>
      </c>
      <c r="AT44" s="93">
        <f t="shared" si="30"/>
        <v>0.57809337094948909</v>
      </c>
    </row>
    <row r="45" spans="1:46" x14ac:dyDescent="0.15">
      <c r="A45" s="57" t="s">
        <v>111</v>
      </c>
      <c r="B45" s="365">
        <f>'Data From SEC'!B85+'Data From SEC'!B93+'Data From SEC'!B83</f>
        <v>54313</v>
      </c>
      <c r="C45" s="365">
        <f>'Data From SEC'!C85+'Data From SEC'!C93+'Data From SEC'!C83</f>
        <v>5553</v>
      </c>
      <c r="D45" s="365">
        <f>'Data From SEC'!D85+'Data From SEC'!D93+'Data From SEC'!D83</f>
        <v>0</v>
      </c>
      <c r="E45" s="365">
        <f>'Data From SEC'!E85+'Data From SEC'!E93+'Data From SEC'!E83</f>
        <v>0</v>
      </c>
      <c r="F45" s="365">
        <f>'Data From SEC'!F85+'Data From SEC'!F93+'Data From SEC'!F83</f>
        <v>0</v>
      </c>
      <c r="G45" s="253"/>
      <c r="H45" s="365">
        <f>'Data From SEC'!H93</f>
        <v>11.1</v>
      </c>
      <c r="I45" s="365">
        <f>'Data From SEC'!I93</f>
        <v>14.5</v>
      </c>
      <c r="J45" s="365">
        <f>'Data From SEC'!J93</f>
        <v>15</v>
      </c>
      <c r="K45" s="365">
        <f>'Data From SEC'!K93</f>
        <v>14.3</v>
      </c>
      <c r="L45" s="365">
        <f>'Data From SEC'!L93</f>
        <v>17.600000000000001</v>
      </c>
      <c r="M45" s="253"/>
      <c r="N45" s="72">
        <f t="shared" si="32"/>
        <v>5.5929473647355878E-2</v>
      </c>
      <c r="O45" s="72">
        <f t="shared" si="33"/>
        <v>4.7693729472715026E-3</v>
      </c>
      <c r="P45" s="72">
        <f t="shared" si="34"/>
        <v>0</v>
      </c>
      <c r="Q45" s="72">
        <f t="shared" si="35"/>
        <v>0</v>
      </c>
      <c r="R45" s="72">
        <f t="shared" si="36"/>
        <v>0</v>
      </c>
      <c r="S45" s="273"/>
      <c r="T45" s="72">
        <f t="shared" si="37"/>
        <v>1.0296463953100071E-3</v>
      </c>
      <c r="U45" s="72">
        <f t="shared" si="38"/>
        <v>1.3219312960396762E-3</v>
      </c>
      <c r="V45" s="72">
        <f t="shared" si="39"/>
        <v>1.4732313857214413E-3</v>
      </c>
      <c r="W45" s="72">
        <f t="shared" si="40"/>
        <v>1.4721627408993577E-3</v>
      </c>
      <c r="X45" s="72">
        <f t="shared" si="41"/>
        <v>1.9977298524404088E-3</v>
      </c>
      <c r="Y45" s="73">
        <f>IF(ISERROR((B45-C45)/C45),"",IF(B$3=C$3,(B45-C45)/C45,B45*('Data From SEC'!B$14/'Data From SEC'!C$14)/C45-1))</f>
        <v>8.7808391860255721</v>
      </c>
      <c r="Z45" s="74" t="str">
        <f>IF(ISERROR((C45-D45)/D45),"",IF(C$3=D$3,(C45-D45)/D45,C45*('Data From SEC'!C$14/'Data From SEC'!D$14)/D45-1))</f>
        <v/>
      </c>
      <c r="AA45" s="74" t="str">
        <f>IF(ISERROR((D45-E45)/E45),"",IF(D$3=E$3,(D45-E45)/E45,D45*('Data From SEC'!D$14/'Data From SEC'!E$14)/E45-1))</f>
        <v/>
      </c>
      <c r="AB45" s="74" t="str">
        <f>IF(ISERROR((E45-F45)/F45),"",IF(E$3=F$3,(E45-F45)/F45,E45*('Data From SEC'!E$14/'Data From SEC'!F$14)/F45-1))</f>
        <v/>
      </c>
      <c r="AC45" s="74" t="str">
        <f>IF(ISERROR((F45-G45)/G45),"",IF(F$3=G$4,(F45-G45)/G45,F45*('Data From SEC'!F$14/'Data From SEC'!G$14)/G45-1))</f>
        <v/>
      </c>
      <c r="AD45" s="290"/>
      <c r="AE45" s="296">
        <f>IF(ISERROR((H45-I45)/I45),"",IF(H$3=I$3,(H45-I45)/I45,H45*('Data From SEC'!H$14/'Data From SEC'!I$14)/I45-1))</f>
        <v>-0.23448275862068968</v>
      </c>
      <c r="AF45" s="74">
        <f>IF(ISERROR((I45-J45)/J45),"",IF(I$3=J$3,(I45-J45)/J45,I45*('Data From SEC'!I$14/'Data From SEC'!J$14)/J45-1))</f>
        <v>-3.3333333333333333E-2</v>
      </c>
      <c r="AG45" s="74">
        <f>IF(ISERROR((J45-K45)/K45),"",IF(J$3=K$3,(J45-K45)/K45,J45*('Data From SEC'!J$14/'Data From SEC'!K$14)/K45-1))</f>
        <v>4.8951048951048896E-2</v>
      </c>
      <c r="AH45" s="74">
        <f>IF(ISERROR((K45-L45)/L45),"",IF(K$3=L$3,(K45-L45)/L45,K45*('Data From SEC'!K$14/'Data From SEC'!L$14)/L45-1))</f>
        <v>-0.18750000000000003</v>
      </c>
      <c r="AI45" s="22" t="str">
        <f>IF(ISERROR((L45-M45)/M45),"",IF(L$3=M$4,(L45-M45)/M45,L45*('Data From SEC'!L$14/'Data From SEC'!M$14)/M45-1))</f>
        <v/>
      </c>
      <c r="AJ45" s="92">
        <f t="shared" si="31"/>
        <v>6.6787256647614923E-2</v>
      </c>
      <c r="AK45" s="92">
        <f t="shared" si="22"/>
        <v>5.2305225907146686E-3</v>
      </c>
      <c r="AL45" s="92">
        <f t="shared" si="23"/>
        <v>0</v>
      </c>
      <c r="AM45" s="92">
        <f t="shared" si="24"/>
        <v>0</v>
      </c>
      <c r="AN45" s="92">
        <f t="shared" si="25"/>
        <v>0</v>
      </c>
      <c r="AO45" s="273"/>
      <c r="AP45" s="92">
        <f t="shared" si="26"/>
        <v>1.3472181765219926E-3</v>
      </c>
      <c r="AQ45" s="92">
        <f t="shared" si="27"/>
        <v>1.8427206181374544E-3</v>
      </c>
      <c r="AR45" s="92">
        <f t="shared" si="28"/>
        <v>2.0993114258523204E-3</v>
      </c>
      <c r="AS45" s="92">
        <f t="shared" si="29"/>
        <v>2.1689670863036556E-3</v>
      </c>
      <c r="AT45" s="93">
        <f t="shared" si="30"/>
        <v>2.8052726374344509E-3</v>
      </c>
    </row>
    <row r="46" spans="1:46" x14ac:dyDescent="0.15">
      <c r="A46" s="57" t="s">
        <v>91</v>
      </c>
      <c r="B46" s="365">
        <f>'Data From SEC'!B87+'Data From SEC'!B88</f>
        <v>376143</v>
      </c>
      <c r="C46" s="365">
        <f>'Data From SEC'!C87+'Data From SEC'!C88</f>
        <v>356606</v>
      </c>
      <c r="D46" s="365">
        <f>'Data From SEC'!D87+'Data From SEC'!D88</f>
        <v>349403</v>
      </c>
      <c r="E46" s="365">
        <f>'Data From SEC'!E87+'Data From SEC'!E88</f>
        <v>338078</v>
      </c>
      <c r="F46" s="365">
        <f>'Data From SEC'!F87+'Data From SEC'!F88</f>
        <v>327560</v>
      </c>
      <c r="G46" s="258"/>
      <c r="H46" s="365">
        <f>'Data From SEC'!H86+'Data From SEC'!H87</f>
        <v>2877.2999999999997</v>
      </c>
      <c r="I46" s="365">
        <f>'Data From SEC'!I86+'Data From SEC'!I87</f>
        <v>2568.2999999999997</v>
      </c>
      <c r="J46" s="365">
        <f>'Data From SEC'!J86+'Data From SEC'!J87</f>
        <v>2295.5</v>
      </c>
      <c r="K46" s="365">
        <f>'Data From SEC'!K86+'Data From SEC'!K87</f>
        <v>2011.6</v>
      </c>
      <c r="L46" s="365">
        <f>'Data From SEC'!L86+'Data From SEC'!L87</f>
        <v>1741.1</v>
      </c>
      <c r="M46" s="272"/>
      <c r="N46" s="72">
        <f t="shared" si="32"/>
        <v>0.38733783819964618</v>
      </c>
      <c r="O46" s="72">
        <f t="shared" si="33"/>
        <v>0.30628255163599882</v>
      </c>
      <c r="P46" s="72">
        <f t="shared" si="34"/>
        <v>0.25987134470737949</v>
      </c>
      <c r="Q46" s="72">
        <f t="shared" si="35"/>
        <v>0.27302380008285732</v>
      </c>
      <c r="R46" s="72">
        <f t="shared" si="36"/>
        <v>0.27865589111016587</v>
      </c>
      <c r="S46" s="273"/>
      <c r="T46" s="72">
        <f t="shared" si="37"/>
        <v>0.26690104263292641</v>
      </c>
      <c r="U46" s="72">
        <f t="shared" si="38"/>
        <v>0.23414594121508278</v>
      </c>
      <c r="V46" s="72">
        <f t="shared" si="39"/>
        <v>0.22545350972823791</v>
      </c>
      <c r="W46" s="72">
        <f t="shared" si="40"/>
        <v>0.20709108878273758</v>
      </c>
      <c r="X46" s="72">
        <f t="shared" si="41"/>
        <v>0.19762769580022702</v>
      </c>
      <c r="Y46" s="73">
        <f>IF(ISERROR((B46-C46)/C46),"",IF(B$3=C$3,(B46-C46)/C46,B46*('Data From SEC'!B$14/'Data From SEC'!C$14)/C46-1))</f>
        <v>5.478595424642322E-2</v>
      </c>
      <c r="Z46" s="74">
        <f>IF(ISERROR((C46-D46)/D46),"",IF(C$3=D$3,(C46-D46)/D46,C46*('Data From SEC'!C$14/'Data From SEC'!D$14)/D46-1))</f>
        <v>2.0615163579019071E-2</v>
      </c>
      <c r="AA46" s="74">
        <f>IF(ISERROR((D46-E46)/E46),"",IF(D$3=E$3,(D46-E46)/E46,D46*('Data From SEC'!D$14/'Data From SEC'!E$14)/E46-1))</f>
        <v>3.3498186808961244E-2</v>
      </c>
      <c r="AB46" s="74">
        <f>IF(ISERROR((E46-F46)/F46),"",IF(E$3=F$3,(E46-F46)/F46,E46*('Data From SEC'!E$14/'Data From SEC'!F$14)/F46-1))</f>
        <v>3.2110147759189155E-2</v>
      </c>
      <c r="AC46" s="74" t="str">
        <f>IF(ISERROR((F46-G46)/G46),"",IF(F$3=G$4,(F46-G46)/G46,F46*('Data From SEC'!F$14/'Data From SEC'!G$14)/G46-1))</f>
        <v/>
      </c>
      <c r="AD46" s="290"/>
      <c r="AE46" s="296">
        <f>IF(ISERROR((H46-I46)/I46),"",IF(H$3=I$3,(H46-I46)/I46,H46*('Data From SEC'!H$14/'Data From SEC'!I$14)/I46-1))</f>
        <v>0.12031304754117511</v>
      </c>
      <c r="AF46" s="74">
        <f>IF(ISERROR((I46-J46)/J46),"",IF(I$3=J$3,(I46-J46)/J46,I46*('Data From SEC'!I$14/'Data From SEC'!J$14)/J46-1))</f>
        <v>0.11884121106512731</v>
      </c>
      <c r="AG46" s="74">
        <f>IF(ISERROR((J46-K46)/K46),"",IF(J$3=K$3,(J46-K46)/K46,J46*('Data From SEC'!J$14/'Data From SEC'!K$14)/K46-1))</f>
        <v>0.141131437661563</v>
      </c>
      <c r="AH46" s="74">
        <f>IF(ISERROR((K46-L46)/L46),"",IF(K$3=L$3,(K46-L46)/L46,K46*('Data From SEC'!K$14/'Data From SEC'!L$14)/L46-1))</f>
        <v>0.15536155304118088</v>
      </c>
      <c r="AI46" s="22" t="str">
        <f>IF(ISERROR((L46-M46)/M46),"",IF(L$3=M$4,(L46-M46)/M46,L46*('Data From SEC'!L$14/'Data From SEC'!M$14)/M46-1))</f>
        <v/>
      </c>
      <c r="AJ46" s="92">
        <f t="shared" si="31"/>
        <v>0.46253307821707179</v>
      </c>
      <c r="AK46" s="92">
        <f t="shared" si="22"/>
        <v>0.3358969456121727</v>
      </c>
      <c r="AL46" s="92">
        <f t="shared" si="23"/>
        <v>0.31656507195587336</v>
      </c>
      <c r="AM46" s="92">
        <f t="shared" si="24"/>
        <v>0.3169221769967584</v>
      </c>
      <c r="AN46" s="92">
        <f t="shared" si="25"/>
        <v>0.38318416259474031</v>
      </c>
      <c r="AO46" s="273"/>
      <c r="AP46" s="92">
        <f t="shared" si="26"/>
        <v>0.34922079813574136</v>
      </c>
      <c r="AQ46" s="92">
        <f t="shared" si="27"/>
        <v>0.32639030093533955</v>
      </c>
      <c r="AR46" s="92">
        <f t="shared" si="28"/>
        <v>0.32126462520293347</v>
      </c>
      <c r="AS46" s="92">
        <f t="shared" si="29"/>
        <v>0.3051114818747156</v>
      </c>
      <c r="AT46" s="93">
        <f t="shared" si="30"/>
        <v>0.27751478346801828</v>
      </c>
    </row>
    <row r="47" spans="1:46" x14ac:dyDescent="0.15">
      <c r="A47" s="57" t="s">
        <v>33</v>
      </c>
      <c r="B47" s="306">
        <f>'Data From SEC'!B89</f>
        <v>-133989</v>
      </c>
      <c r="C47" s="306">
        <f>'Data From SEC'!C89</f>
        <v>112337</v>
      </c>
      <c r="D47" s="306">
        <f>'Data From SEC'!D89</f>
        <v>258065</v>
      </c>
      <c r="E47" s="306">
        <f>'Data From SEC'!E89</f>
        <v>217354</v>
      </c>
      <c r="F47" s="306">
        <f>'Data From SEC'!F89</f>
        <v>159935</v>
      </c>
      <c r="G47" s="253"/>
      <c r="H47" s="306">
        <f>'Data From SEC'!H88</f>
        <v>7004.1</v>
      </c>
      <c r="I47" s="306">
        <f>'Data From SEC'!I88</f>
        <v>6265.8</v>
      </c>
      <c r="J47" s="306">
        <f>'Data From SEC'!J88</f>
        <v>5364.1</v>
      </c>
      <c r="K47" s="306">
        <f>'Data From SEC'!K88</f>
        <v>4764.8999999999996</v>
      </c>
      <c r="L47" s="306">
        <f>'Data From SEC'!L88</f>
        <v>4113.7</v>
      </c>
      <c r="M47" s="272"/>
      <c r="N47" s="72">
        <f t="shared" si="32"/>
        <v>-0.1379768056365063</v>
      </c>
      <c r="O47" s="72">
        <f t="shared" si="33"/>
        <v>9.6484251535681409E-2</v>
      </c>
      <c r="P47" s="72">
        <f t="shared" si="34"/>
        <v>0.19193795866638205</v>
      </c>
      <c r="Q47" s="72">
        <f t="shared" si="35"/>
        <v>0.17552995179576716</v>
      </c>
      <c r="R47" s="72">
        <f t="shared" si="36"/>
        <v>0.13605699702254359</v>
      </c>
      <c r="S47" s="273"/>
      <c r="T47" s="72">
        <f t="shared" si="37"/>
        <v>0.64970687544061445</v>
      </c>
      <c r="U47" s="72">
        <f t="shared" si="38"/>
        <v>0.57123842170520023</v>
      </c>
      <c r="V47" s="72">
        <f t="shared" si="39"/>
        <v>0.52683736507655887</v>
      </c>
      <c r="W47" s="72">
        <f t="shared" si="40"/>
        <v>0.49053903804974464</v>
      </c>
      <c r="X47" s="72">
        <f t="shared" si="41"/>
        <v>0.46693530079455164</v>
      </c>
      <c r="Y47" s="73">
        <f>IF(ISERROR((B47-C47)/C47),"",IF(B$3=C$3,(B47-C47)/C47,B47*('Data From SEC'!B$14/'Data From SEC'!C$14)/C47-1))</f>
        <v>-2.1927414832156815</v>
      </c>
      <c r="Z47" s="74">
        <f>IF(ISERROR((C47-D47)/D47),"",IF(C$3=D$3,(C47-D47)/D47,C47*('Data From SEC'!C$14/'Data From SEC'!D$14)/D47-1))</f>
        <v>-0.56469494119698527</v>
      </c>
      <c r="AA47" s="74">
        <f>IF(ISERROR((D47-E47)/E47),"",IF(D$3=E$3,(D47-E47)/E47,D47*('Data From SEC'!D$14/'Data From SEC'!E$14)/E47-1))</f>
        <v>0.1873027411503814</v>
      </c>
      <c r="AB47" s="74">
        <f>IF(ISERROR((E47-F47)/F47),"",IF(E$3=F$3,(E47-F47)/F47,E47*('Data From SEC'!E$14/'Data From SEC'!F$14)/F47-1))</f>
        <v>0.35901459968112043</v>
      </c>
      <c r="AC47" s="74" t="str">
        <f>IF(ISERROR((F47-G47)/G47),"",IF(F$3=G$4,(F47-G47)/G47,F47*('Data From SEC'!F$14/'Data From SEC'!G$14)/G47-1))</f>
        <v/>
      </c>
      <c r="AD47" s="290"/>
      <c r="AE47" s="296">
        <f>IF(ISERROR((H47-I47)/I47),"",IF(H$3=I$3,(H47-I47)/I47,H47*('Data From SEC'!H$14/'Data From SEC'!I$14)/I47-1))</f>
        <v>0.11783012544288042</v>
      </c>
      <c r="AF47" s="74">
        <f>IF(ISERROR((I47-J47)/J47),"",IF(I$3=J$3,(I47-J47)/J47,I47*('Data From SEC'!I$14/'Data From SEC'!J$14)/J47-1))</f>
        <v>0.16809902872802515</v>
      </c>
      <c r="AG47" s="74">
        <f>IF(ISERROR((J47-K47)/K47),"",IF(J$3=K$3,(J47-K47)/K47,J47*('Data From SEC'!J$14/'Data From SEC'!K$14)/K47-1))</f>
        <v>0.12575290142500384</v>
      </c>
      <c r="AH47" s="74">
        <f>IF(ISERROR((K47-L47)/L47),"",IF(K$3=L$3,(K47-L47)/L47,K47*('Data From SEC'!K$14/'Data From SEC'!L$14)/L47-1))</f>
        <v>0.15830031358630914</v>
      </c>
      <c r="AI47" s="22" t="str">
        <f>IF(ISERROR((L47-M47)/M47),"",IF(L$3=M$4,(L47-M47)/M47,L47*('Data From SEC'!L$14/'Data From SEC'!M$14)/M47-1))</f>
        <v/>
      </c>
      <c r="AJ47" s="92">
        <f t="shared" si="31"/>
        <v>-0.16476272220200092</v>
      </c>
      <c r="AK47" s="92">
        <f t="shared" si="22"/>
        <v>0.10581329304396069</v>
      </c>
      <c r="AL47" s="92">
        <f t="shared" si="23"/>
        <v>0.23381128752269573</v>
      </c>
      <c r="AM47" s="92">
        <f t="shared" si="24"/>
        <v>0.20375269274828123</v>
      </c>
      <c r="AN47" s="92">
        <f t="shared" si="25"/>
        <v>0.18709414777320121</v>
      </c>
      <c r="AO47" s="273"/>
      <c r="AP47" s="92">
        <f t="shared" si="26"/>
        <v>0.85009466938537737</v>
      </c>
      <c r="AQ47" s="92">
        <f t="shared" si="27"/>
        <v>0.79628405856039053</v>
      </c>
      <c r="AR47" s="92">
        <f t="shared" si="28"/>
        <v>0.75072776129429553</v>
      </c>
      <c r="AS47" s="92">
        <f t="shared" si="29"/>
        <v>0.72272106779918088</v>
      </c>
      <c r="AT47" s="93">
        <f t="shared" si="30"/>
        <v>0.65568466185307372</v>
      </c>
    </row>
    <row r="48" spans="1:46" x14ac:dyDescent="0.15">
      <c r="A48" s="57" t="s">
        <v>90</v>
      </c>
      <c r="B48" s="306">
        <f>'Data From SEC'!B91</f>
        <v>-16586</v>
      </c>
      <c r="C48" s="306">
        <f>'Data From SEC'!C91</f>
        <v>-4785</v>
      </c>
      <c r="D48" s="306">
        <f>'Data From SEC'!D91</f>
        <v>-4410</v>
      </c>
      <c r="E48" s="306">
        <f>'Data From SEC'!E91</f>
        <v>1166</v>
      </c>
      <c r="F48" s="306">
        <f>'Data From SEC'!F91</f>
        <v>5141</v>
      </c>
      <c r="G48" s="253"/>
      <c r="H48" s="306">
        <f>'Data From SEC'!H89</f>
        <v>-381.5</v>
      </c>
      <c r="I48" s="306">
        <f>'Data From SEC'!I89</f>
        <v>-100.3</v>
      </c>
      <c r="J48" s="306">
        <f>'Data From SEC'!J89</f>
        <v>-157.5</v>
      </c>
      <c r="K48" s="306">
        <f>'Data From SEC'!K89</f>
        <v>-212.9</v>
      </c>
      <c r="L48" s="306">
        <f>'Data From SEC'!L89</f>
        <v>17.7</v>
      </c>
      <c r="M48" s="272"/>
      <c r="N48" s="72">
        <f t="shared" si="32"/>
        <v>-1.7079635628947851E-2</v>
      </c>
      <c r="O48" s="72">
        <f t="shared" si="33"/>
        <v>-4.1097514051313061E-3</v>
      </c>
      <c r="P48" s="72">
        <f t="shared" si="34"/>
        <v>-3.2799736412095592E-3</v>
      </c>
      <c r="Q48" s="72">
        <f t="shared" si="35"/>
        <v>9.4163403385198578E-4</v>
      </c>
      <c r="R48" s="72">
        <f t="shared" si="36"/>
        <v>4.3734581029349212E-3</v>
      </c>
      <c r="S48" s="273"/>
      <c r="T48" s="72">
        <f t="shared" si="37"/>
        <v>-3.5388297280249344E-2</v>
      </c>
      <c r="U48" s="72">
        <f t="shared" si="38"/>
        <v>-9.1441178615710023E-3</v>
      </c>
      <c r="V48" s="72">
        <f t="shared" si="39"/>
        <v>-1.5468929550075134E-2</v>
      </c>
      <c r="W48" s="72">
        <f t="shared" si="40"/>
        <v>-2.1917723604019106E-2</v>
      </c>
      <c r="X48" s="72">
        <f t="shared" si="41"/>
        <v>2.0090805902383655E-3</v>
      </c>
      <c r="Y48" s="73">
        <f>IF(ISERROR((B48-C48)/C48),"",IF(B$3=C$3,(B48-C48)/C48,B48*('Data From SEC'!B$14/'Data From SEC'!C$14)/C48-1))</f>
        <v>2.4662486938349009</v>
      </c>
      <c r="Z48" s="74">
        <f>IF(ISERROR((C48-D48)/D48),"",IF(C$3=D$3,(C48-D48)/D48,C48*('Data From SEC'!C$14/'Data From SEC'!D$14)/D48-1))</f>
        <v>8.5034013605442174E-2</v>
      </c>
      <c r="AA48" s="74">
        <f>IF(ISERROR((D48-E48)/E48),"",IF(D$3=E$3,(D48-E48)/E48,D48*('Data From SEC'!D$14/'Data From SEC'!E$14)/E48-1))</f>
        <v>-4.782161234991424</v>
      </c>
      <c r="AB48" s="74">
        <f>IF(ISERROR((E48-F48)/F48),"",IF(E$3=F$3,(E48-F48)/F48,E48*('Data From SEC'!E$14/'Data From SEC'!F$14)/F48-1))</f>
        <v>-0.77319587628865982</v>
      </c>
      <c r="AC48" s="74" t="str">
        <f>IF(ISERROR((F48-G48)/G48),"",IF(F$3=G$4,(F48-G48)/G48,F48*('Data From SEC'!F$14/'Data From SEC'!G$14)/G48-1))</f>
        <v/>
      </c>
      <c r="AD48" s="290"/>
      <c r="AE48" s="296">
        <f>IF(ISERROR((H48-I48)/I48),"",IF(H$3=I$3,(H48-I48)/I48,H48*('Data From SEC'!H$14/'Data From SEC'!I$14)/I48-1))</f>
        <v>2.8035892323030907</v>
      </c>
      <c r="AF48" s="74">
        <f>IF(ISERROR((I48-J48)/J48),"",IF(I$3=J$3,(I48-J48)/J48,I48*('Data From SEC'!I$14/'Data From SEC'!J$14)/J48-1))</f>
        <v>-0.36317460317460321</v>
      </c>
      <c r="AG48" s="74">
        <f>IF(ISERROR((J48-K48)/K48),"",IF(J$3=K$3,(J48-K48)/K48,J48*('Data From SEC'!J$14/'Data From SEC'!K$14)/K48-1))</f>
        <v>-0.26021606387975577</v>
      </c>
      <c r="AH48" s="74">
        <f>IF(ISERROR((K48-L48)/L48),"",IF(K$3=L$3,(K48-L48)/L48,K48*('Data From SEC'!K$14/'Data From SEC'!L$14)/L48-1))</f>
        <v>-13.028248587570621</v>
      </c>
      <c r="AI48" s="22" t="str">
        <f>IF(ISERROR((L48-M48)/M48),"",IF(L$3=M$4,(L48-M48)/M48,L48*('Data From SEC'!L$14/'Data From SEC'!M$14)/M48-1))</f>
        <v/>
      </c>
      <c r="AJ48" s="92">
        <f t="shared" si="31"/>
        <v>-2.0395364622785357E-2</v>
      </c>
      <c r="AK48" s="92">
        <f t="shared" si="22"/>
        <v>-4.5071223836790361E-3</v>
      </c>
      <c r="AL48" s="92">
        <f t="shared" si="23"/>
        <v>-3.9955351480250641E-3</v>
      </c>
      <c r="AM48" s="92">
        <f t="shared" si="24"/>
        <v>1.0930355077178055E-3</v>
      </c>
      <c r="AN48" s="92">
        <f t="shared" si="25"/>
        <v>6.0140120280240562E-3</v>
      </c>
      <c r="AO48" s="273"/>
      <c r="AP48" s="92">
        <f t="shared" si="26"/>
        <v>-4.630303913001263E-2</v>
      </c>
      <c r="AQ48" s="92">
        <f t="shared" si="27"/>
        <v>-1.2746543310288736E-2</v>
      </c>
      <c r="AR48" s="92">
        <f t="shared" si="28"/>
        <v>-2.2042769971449366E-2</v>
      </c>
      <c r="AS48" s="92">
        <f t="shared" si="29"/>
        <v>-3.2291824662520854E-2</v>
      </c>
      <c r="AT48" s="93">
        <f t="shared" si="30"/>
        <v>2.8212116865107824E-3</v>
      </c>
    </row>
    <row r="49" spans="1:46" x14ac:dyDescent="0.15">
      <c r="A49" s="57" t="s">
        <v>34</v>
      </c>
      <c r="B49" s="307">
        <f>'Data From SEC'!B90</f>
        <v>-93169</v>
      </c>
      <c r="C49" s="307">
        <f>'Data From SEC'!C90</f>
        <v>-93169</v>
      </c>
      <c r="D49" s="307">
        <f>'Data From SEC'!D90</f>
        <v>-87776</v>
      </c>
      <c r="E49" s="307">
        <f>'Data From SEC'!E90</f>
        <v>-74871</v>
      </c>
      <c r="F49" s="307">
        <f>'Data From SEC'!F90</f>
        <v>-74871</v>
      </c>
      <c r="G49" s="258"/>
      <c r="H49" s="307">
        <f>'Data From SEC'!H91</f>
        <v>-5856.7</v>
      </c>
      <c r="I49" s="307">
        <f>'Data From SEC'!I91</f>
        <v>-4878.8999999999996</v>
      </c>
      <c r="J49" s="307">
        <f>'Data From SEC'!J91</f>
        <v>-4215.2</v>
      </c>
      <c r="K49" s="307">
        <f>'Data From SEC'!K91</f>
        <v>-3830.4</v>
      </c>
      <c r="L49" s="307">
        <f>'Data From SEC'!L91</f>
        <v>-3243.1</v>
      </c>
      <c r="M49" s="272"/>
      <c r="N49" s="72">
        <f t="shared" si="32"/>
        <v>-9.5941913174571458E-2</v>
      </c>
      <c r="O49" s="72">
        <f t="shared" si="33"/>
        <v>-8.0021197213098985E-2</v>
      </c>
      <c r="P49" s="72">
        <f t="shared" si="34"/>
        <v>-6.5284119349390088E-2</v>
      </c>
      <c r="Q49" s="72">
        <f t="shared" si="35"/>
        <v>-6.0464049527042908E-2</v>
      </c>
      <c r="R49" s="72">
        <f t="shared" si="36"/>
        <v>-6.369289663972777E-2</v>
      </c>
      <c r="S49" s="273"/>
      <c r="T49" s="72">
        <f t="shared" si="37"/>
        <v>-0.54327297688397458</v>
      </c>
      <c r="U49" s="72">
        <f t="shared" si="38"/>
        <v>-0.44479797243089492</v>
      </c>
      <c r="V49" s="72">
        <f t="shared" si="39"/>
        <v>-0.41399766247286796</v>
      </c>
      <c r="W49" s="72">
        <f t="shared" si="40"/>
        <v>-0.39433371767418879</v>
      </c>
      <c r="X49" s="72">
        <f t="shared" si="41"/>
        <v>-0.36811577752553915</v>
      </c>
      <c r="Y49" s="73">
        <f>IF(ISERROR((B49-C49)/C49),"",IF(B$3=C$3,(B49-C49)/C49,B49*('Data From SEC'!B$14/'Data From SEC'!C$14)/C49-1))</f>
        <v>0</v>
      </c>
      <c r="Z49" s="74">
        <f>IF(ISERROR((C49-D49)/D49),"",IF(C$3=D$3,(C49-D49)/D49,C49*('Data From SEC'!C$14/'Data From SEC'!D$14)/D49-1))</f>
        <v>6.1440484870579661E-2</v>
      </c>
      <c r="AA49" s="74">
        <f>IF(ISERROR((D49-E49)/E49),"",IF(D$3=E$3,(D49-E49)/E49,D49*('Data From SEC'!D$14/'Data From SEC'!E$14)/E49-1))</f>
        <v>0.17236313125242084</v>
      </c>
      <c r="AB49" s="74">
        <f>IF(ISERROR((E49-F49)/F49),"",IF(E$3=F$3,(E49-F49)/F49,E49*('Data From SEC'!E$14/'Data From SEC'!F$14)/F49-1))</f>
        <v>0</v>
      </c>
      <c r="AC49" s="74" t="str">
        <f>IF(ISERROR((F49-G49)/G49),"",IF(F$3=G$4,(F49-G49)/G49,F49*('Data From SEC'!F$14/'Data From SEC'!G$14)/G49-1))</f>
        <v/>
      </c>
      <c r="AD49" s="290"/>
      <c r="AE49" s="296">
        <f>IF(ISERROR((H49-I49)/I49),"",IF(H$3=I$3,(H49-I49)/I49,H49*('Data From SEC'!H$14/'Data From SEC'!I$14)/I49-1))</f>
        <v>0.2004140277521573</v>
      </c>
      <c r="AF49" s="74">
        <f>IF(ISERROR((I49-J49)/J49),"",IF(I$3=J$3,(I49-J49)/J49,I49*('Data From SEC'!I$14/'Data From SEC'!J$14)/J49-1))</f>
        <v>0.15745397608654391</v>
      </c>
      <c r="AG49" s="74">
        <f>IF(ISERROR((J49-K49)/K49),"",IF(J$3=K$3,(J49-K49)/K49,J49*('Data From SEC'!J$14/'Data From SEC'!K$14)/K49-1))</f>
        <v>0.10045948203842933</v>
      </c>
      <c r="AH49" s="74">
        <f>IF(ISERROR((K49-L49)/L49),"",IF(K$3=L$3,(K49-L49)/L49,K49*('Data From SEC'!K$14/'Data From SEC'!L$14)/L49-1))</f>
        <v>0.18109216490395</v>
      </c>
      <c r="AI49" s="22" t="str">
        <f>IF(ISERROR((L49-M49)/M49),"",IF(L$3=M$4,(L49-M49)/M49,L49*('Data From SEC'!L$14/'Data From SEC'!M$14)/M49-1))</f>
        <v/>
      </c>
      <c r="AJ49" s="92">
        <f t="shared" si="31"/>
        <v>-0.11456745005066254</v>
      </c>
      <c r="AK49" s="92">
        <f t="shared" si="22"/>
        <v>-8.7758429543363034E-2</v>
      </c>
      <c r="AL49" s="92">
        <f t="shared" si="23"/>
        <v>-7.9526551735385045E-2</v>
      </c>
      <c r="AM49" s="92">
        <f t="shared" si="24"/>
        <v>-7.0185816036312021E-2</v>
      </c>
      <c r="AN49" s="92">
        <f t="shared" si="25"/>
        <v>-8.7585118566463546E-2</v>
      </c>
      <c r="AO49" s="273"/>
      <c r="AP49" s="92">
        <f t="shared" si="26"/>
        <v>-0.71083357607534714</v>
      </c>
      <c r="AQ49" s="92">
        <f t="shared" si="27"/>
        <v>-0.62003100854005699</v>
      </c>
      <c r="AR49" s="92">
        <f t="shared" si="28"/>
        <v>-0.58993450148351345</v>
      </c>
      <c r="AS49" s="92">
        <f t="shared" si="29"/>
        <v>-0.58097982708933715</v>
      </c>
      <c r="AT49" s="93">
        <f t="shared" si="30"/>
        <v>-0.51691930059452651</v>
      </c>
    </row>
    <row r="50" spans="1:46" x14ac:dyDescent="0.15">
      <c r="A50" s="57" t="s">
        <v>35</v>
      </c>
      <c r="B50" s="308">
        <f>SUM(B46:B49)</f>
        <v>132399</v>
      </c>
      <c r="C50" s="308">
        <f>SUM(C46:C49)</f>
        <v>370989</v>
      </c>
      <c r="D50" s="308">
        <f>SUM(D46:D49)</f>
        <v>515282</v>
      </c>
      <c r="E50" s="308">
        <f>SUM(E46:E49)</f>
        <v>481727</v>
      </c>
      <c r="F50" s="308">
        <f>SUM(F46:F49)</f>
        <v>417765</v>
      </c>
      <c r="G50" s="259"/>
      <c r="H50" s="308">
        <f>SUM(H46:H49)</f>
        <v>3643.2</v>
      </c>
      <c r="I50" s="308">
        <f>SUM(I46:I49)</f>
        <v>3854.9000000000015</v>
      </c>
      <c r="J50" s="308">
        <f>SUM(J46:J49)</f>
        <v>3286.9000000000005</v>
      </c>
      <c r="K50" s="308">
        <f>SUM(K46:K49)</f>
        <v>2733.2000000000003</v>
      </c>
      <c r="L50" s="308">
        <f>SUM(L46:L49)</f>
        <v>2629.3999999999992</v>
      </c>
      <c r="M50" s="272"/>
      <c r="N50" s="89">
        <f t="shared" si="32"/>
        <v>0.13633948375962054</v>
      </c>
      <c r="O50" s="89">
        <f t="shared" si="33"/>
        <v>0.31863585455344995</v>
      </c>
      <c r="P50" s="89">
        <f t="shared" si="34"/>
        <v>0.38324521038316189</v>
      </c>
      <c r="Q50" s="89">
        <f t="shared" si="35"/>
        <v>0.38903133638543358</v>
      </c>
      <c r="R50" s="89">
        <f t="shared" si="36"/>
        <v>0.35539344959591662</v>
      </c>
      <c r="S50" s="279"/>
      <c r="T50" s="89">
        <f t="shared" si="37"/>
        <v>0.33794664390931689</v>
      </c>
      <c r="U50" s="89">
        <f t="shared" si="38"/>
        <v>0.35144227262781724</v>
      </c>
      <c r="V50" s="89">
        <f t="shared" si="39"/>
        <v>0.32282428278185377</v>
      </c>
      <c r="W50" s="89">
        <f t="shared" si="40"/>
        <v>0.28137868555427442</v>
      </c>
      <c r="X50" s="89">
        <f t="shared" si="41"/>
        <v>0.29845629965947779</v>
      </c>
      <c r="Y50" s="90">
        <f>IF(ISERROR((B50-C50)/C50),"",IF(B$3=C$3,(B50-C50)/C50,B50*('Data From SEC'!B$14/'Data From SEC'!C$14)/C50-1))</f>
        <v>-0.64311879867058053</v>
      </c>
      <c r="Z50" s="91">
        <f>IF(ISERROR((C50-D50)/D50),"",IF(C$3=D$3,(C50-D50)/D50,C50*('Data From SEC'!C$14/'Data From SEC'!D$14)/D50-1))</f>
        <v>-0.28002724721608752</v>
      </c>
      <c r="AA50" s="91">
        <f>IF(ISERROR((D50-E50)/E50),"",IF(D$3=E$3,(D50-E50)/E50,D50*('Data From SEC'!D$14/'Data From SEC'!E$14)/E50-1))</f>
        <v>6.9655634830516039E-2</v>
      </c>
      <c r="AB50" s="91">
        <f>IF(ISERROR((E50-F50)/F50),"",IF(E$3=F$3,(E50-F50)/F50,E50*('Data From SEC'!E$14/'Data From SEC'!F$14)/F50-1))</f>
        <v>0.1531052146541716</v>
      </c>
      <c r="AC50" s="91" t="str">
        <f>IF(ISERROR((F50-G50)/G50),"",IF(F$3=G$4,(F50-G50)/G50,F50*('Data From SEC'!F$14/'Data From SEC'!G$14)/G50-1))</f>
        <v/>
      </c>
      <c r="AD50" s="299"/>
      <c r="AE50" s="91">
        <f>IF(ISERROR((H50-I50)/I50),"",IF(H$3=I$3,(H50-I50)/I50,H50*('Data From SEC'!H$14/'Data From SEC'!I$14)/I50-1))</f>
        <v>-5.4917118472593729E-2</v>
      </c>
      <c r="AF50" s="91">
        <f>IF(ISERROR((I50-J50)/J50),"",IF(I$3=J$3,(I50-J50)/J50,I50*('Data From SEC'!I$14/'Data From SEC'!J$14)/J50-1))</f>
        <v>0.17280720435668892</v>
      </c>
      <c r="AG50" s="91">
        <f>IF(ISERROR((J50-K50)/K50),"",IF(J$3=K$3,(J50-K50)/K50,J50*('Data From SEC'!J$14/'Data From SEC'!K$14)/K50-1))</f>
        <v>0.20258305283184552</v>
      </c>
      <c r="AH50" s="91">
        <f>IF(ISERROR((K50-L50)/L50),"",IF(K$3=L$3,(K50-L50)/L50,K50*('Data From SEC'!K$14/'Data From SEC'!L$14)/L50-1))</f>
        <v>3.9476686696585196E-2</v>
      </c>
      <c r="AI50" s="36" t="str">
        <f>IF(ISERROR((L50-M50)/M50),"",IF(L$3=M$4,(L50-M50)/M50,L50*('Data From SEC'!L$14/'Data From SEC'!M$14)/M50-1))</f>
        <v/>
      </c>
      <c r="AJ50" s="98">
        <f t="shared" si="31"/>
        <v>0.16280754134162298</v>
      </c>
      <c r="AK50" s="98">
        <f t="shared" si="22"/>
        <v>0.34944468672909135</v>
      </c>
      <c r="AL50" s="98">
        <f t="shared" si="23"/>
        <v>0.46685427259515899</v>
      </c>
      <c r="AM50" s="98">
        <f t="shared" si="24"/>
        <v>0.45158208921644538</v>
      </c>
      <c r="AN50" s="98">
        <f t="shared" si="25"/>
        <v>0.488707203829502</v>
      </c>
      <c r="AO50" s="279"/>
      <c r="AP50" s="98">
        <f t="shared" si="26"/>
        <v>0.44217885231575887</v>
      </c>
      <c r="AQ50" s="98">
        <f t="shared" si="27"/>
        <v>0.48989680764538451</v>
      </c>
      <c r="AR50" s="98">
        <f t="shared" si="28"/>
        <v>0.46001511504226622</v>
      </c>
      <c r="AS50" s="98">
        <f t="shared" si="29"/>
        <v>0.41456089792203854</v>
      </c>
      <c r="AT50" s="99">
        <f t="shared" si="30"/>
        <v>0.41910135641307622</v>
      </c>
    </row>
    <row r="51" spans="1:46" ht="14" thickBot="1" x14ac:dyDescent="0.2">
      <c r="A51" s="59" t="s">
        <v>36</v>
      </c>
      <c r="B51" s="315">
        <f>SUM(B44,B45,B50)</f>
        <v>813224</v>
      </c>
      <c r="C51" s="315">
        <f>SUM(C44,C45,C50)</f>
        <v>1061653</v>
      </c>
      <c r="D51" s="315">
        <f>SUM(D44,D45,D50)</f>
        <v>1103732</v>
      </c>
      <c r="E51" s="315">
        <f>SUM(E44,E45,E50)</f>
        <v>1066754</v>
      </c>
      <c r="F51" s="315">
        <f>SUM(F44,F45,F50)</f>
        <v>854837</v>
      </c>
      <c r="G51" s="260"/>
      <c r="H51" s="315">
        <f>SUM(H44,H45,H50)</f>
        <v>8239.2000000000007</v>
      </c>
      <c r="I51" s="315">
        <f>SUM(I44,I45,I50)</f>
        <v>7868.8000000000011</v>
      </c>
      <c r="J51" s="315">
        <f>SUM(J44,J45,J50)</f>
        <v>7145.2000000000007</v>
      </c>
      <c r="K51" s="315">
        <f>SUM(K44,K45,K50)</f>
        <v>6593</v>
      </c>
      <c r="L51" s="315">
        <f>SUM(L44,L45,L50)</f>
        <v>6273.8999999999987</v>
      </c>
      <c r="M51" s="272"/>
      <c r="N51" s="80">
        <f t="shared" si="32"/>
        <v>0.83742732453367219</v>
      </c>
      <c r="O51" s="80">
        <f t="shared" si="33"/>
        <v>0.91183488161167525</v>
      </c>
      <c r="P51" s="80">
        <f t="shared" si="34"/>
        <v>0.82090972039898169</v>
      </c>
      <c r="Q51" s="80">
        <f t="shared" si="35"/>
        <v>0.86148531058982958</v>
      </c>
      <c r="R51" s="80">
        <f t="shared" si="36"/>
        <v>0.72721139940450874</v>
      </c>
      <c r="S51" s="275"/>
      <c r="T51" s="80">
        <f t="shared" si="37"/>
        <v>0.76427590812956858</v>
      </c>
      <c r="U51" s="80">
        <f t="shared" si="38"/>
        <v>0.71738020567427629</v>
      </c>
      <c r="V51" s="80">
        <f t="shared" si="39"/>
        <v>0.70176885981712289</v>
      </c>
      <c r="W51" s="80">
        <f t="shared" si="40"/>
        <v>0.67873908746499756</v>
      </c>
      <c r="X51" s="80">
        <f t="shared" si="41"/>
        <v>0.71213393870601571</v>
      </c>
      <c r="Y51" s="81">
        <f>IF(ISERROR((B51-C51)/C51),"",IF(B$3=C$3,(B51-C51)/C51,B51*('Data From SEC'!B$14/'Data From SEC'!C$14)/C51-1))</f>
        <v>-0.2340020703563217</v>
      </c>
      <c r="Z51" s="82">
        <f>IF(ISERROR((C51-D51)/D51),"",IF(C$3=D$3,(C51-D51)/D51,C51*('Data From SEC'!C$14/'Data From SEC'!D$14)/D51-1))</f>
        <v>-3.8124291041665911E-2</v>
      </c>
      <c r="AA51" s="82">
        <f>IF(ISERROR((D51-E51)/E51),"",IF(D$3=E$3,(D51-E51)/E51,D51*('Data From SEC'!D$14/'Data From SEC'!E$14)/E51-1))</f>
        <v>3.466403688198029E-2</v>
      </c>
      <c r="AB51" s="82">
        <f>IF(ISERROR((E51-F51)/F51),"",IF(E$3=F$3,(E51-F51)/F51,E51*('Data From SEC'!E$14/'Data From SEC'!F$14)/F51-1))</f>
        <v>0.24790340146718029</v>
      </c>
      <c r="AC51" s="82" t="str">
        <f>IF(ISERROR((F51-G51)/G51),"",IF(F$3=G$4,(F51-G51)/G51,F51*('Data From SEC'!F$14/'Data From SEC'!G$14)/G51-1))</f>
        <v/>
      </c>
      <c r="AD51" s="292"/>
      <c r="AE51" s="82">
        <f>IF(ISERROR((H51-I51)/I51),"",IF(H$3=I$3,(H51-I51)/I51,H51*('Data From SEC'!H$14/'Data From SEC'!I$14)/I51-1))</f>
        <v>4.707198047986981E-2</v>
      </c>
      <c r="AF51" s="82">
        <f>IF(ISERROR((I51-J51)/J51),"",IF(I$3=J$3,(I51-J51)/J51,I51*('Data From SEC'!I$14/'Data From SEC'!J$14)/J51-1))</f>
        <v>0.10127078318311598</v>
      </c>
      <c r="AG51" s="82">
        <f>IF(ISERROR((J51-K51)/K51),"",IF(J$3=K$3,(J51-K51)/K51,J51*('Data From SEC'!J$14/'Data From SEC'!K$14)/K51-1))</f>
        <v>8.3755498255725883E-2</v>
      </c>
      <c r="AH51" s="82">
        <f>IF(ISERROR((K51-L51)/L51),"",IF(K$3=L$3,(K51-L51)/L51,K51*('Data From SEC'!K$14/'Data From SEC'!L$14)/L51-1))</f>
        <v>5.0861505602575963E-2</v>
      </c>
      <c r="AI51" s="28" t="str">
        <f>IF(ISERROR((L51-M51)/M51),"",IF(L$3=M$4,(L51-M51)/M51,L51*('Data From SEC'!L$14/'Data From SEC'!M$14)/M51-1))</f>
        <v/>
      </c>
      <c r="AJ51" s="100">
        <f t="shared" si="31"/>
        <v>1</v>
      </c>
      <c r="AK51" s="100">
        <f t="shared" si="22"/>
        <v>1</v>
      </c>
      <c r="AL51" s="100">
        <f t="shared" si="23"/>
        <v>1</v>
      </c>
      <c r="AM51" s="100">
        <f t="shared" si="24"/>
        <v>1</v>
      </c>
      <c r="AN51" s="100">
        <f t="shared" si="25"/>
        <v>1</v>
      </c>
      <c r="AO51" s="275"/>
      <c r="AP51" s="100">
        <f t="shared" si="26"/>
        <v>1.0000000000000002</v>
      </c>
      <c r="AQ51" s="100">
        <f t="shared" si="27"/>
        <v>1.0000000000000002</v>
      </c>
      <c r="AR51" s="100">
        <f t="shared" si="28"/>
        <v>1.0000000000000002</v>
      </c>
      <c r="AS51" s="100">
        <f t="shared" si="29"/>
        <v>1</v>
      </c>
      <c r="AT51" s="101">
        <f t="shared" si="30"/>
        <v>0.99999999999999967</v>
      </c>
    </row>
    <row r="52" spans="1:46" ht="14" thickBot="1" x14ac:dyDescent="0.2">
      <c r="B52" s="37"/>
      <c r="C52" s="37"/>
      <c r="N52" s="15"/>
      <c r="O52" s="15"/>
      <c r="P52" s="15"/>
      <c r="Q52" s="15"/>
      <c r="R52" s="15"/>
      <c r="S52" s="15"/>
      <c r="T52" s="15"/>
      <c r="U52" s="15"/>
      <c r="V52" s="15"/>
      <c r="W52" s="15"/>
      <c r="X52" s="15"/>
    </row>
    <row r="53" spans="1:46" s="38" customFormat="1" ht="14" thickTop="1" x14ac:dyDescent="0.15">
      <c r="A53" s="60" t="s">
        <v>0</v>
      </c>
      <c r="B53" s="194">
        <f>MVPS.Data</f>
        <v>14.92</v>
      </c>
      <c r="C53" s="194">
        <f>MVPS.Data</f>
        <v>23.52</v>
      </c>
      <c r="D53" s="195">
        <f>MVPS.Data</f>
        <v>39.521000000000001</v>
      </c>
      <c r="E53" s="195">
        <f>MVPS.Data</f>
        <v>40.97</v>
      </c>
      <c r="F53" s="196">
        <f>MVPS.Data</f>
        <v>33</v>
      </c>
      <c r="G53" s="197"/>
      <c r="H53" s="198">
        <f>MVPS.Data</f>
        <v>82.08</v>
      </c>
      <c r="I53" s="194">
        <f>MVPS.Data</f>
        <v>73.2</v>
      </c>
      <c r="J53" s="195">
        <f>MVPS.Data</f>
        <v>67.819999999999993</v>
      </c>
      <c r="K53" s="195">
        <f>MVPS.Data</f>
        <v>58.84</v>
      </c>
      <c r="L53" s="196">
        <f>MVPS.Data</f>
        <v>103.48</v>
      </c>
      <c r="AD53" s="287"/>
    </row>
    <row r="54" spans="1:46" ht="14" thickBot="1" x14ac:dyDescent="0.2">
      <c r="A54" s="61" t="s">
        <v>1</v>
      </c>
      <c r="B54" s="199">
        <f>No.Of.Shares.Data</f>
        <v>29804</v>
      </c>
      <c r="C54" s="199">
        <f>No.Of.Shares.Data</f>
        <v>29720</v>
      </c>
      <c r="D54" s="199">
        <f>No.Of.Shares.Data</f>
        <v>29672</v>
      </c>
      <c r="E54" s="199">
        <f>No.Of.Shares.Data</f>
        <v>29115</v>
      </c>
      <c r="F54" s="200">
        <f>No.Of.Shares.Data</f>
        <v>27843</v>
      </c>
      <c r="G54" s="201"/>
      <c r="H54" s="202">
        <f>No.Of.Shares.Data</f>
        <v>379.3</v>
      </c>
      <c r="I54" s="199">
        <f>No.Of.Shares.Data</f>
        <v>386.2</v>
      </c>
      <c r="J54" s="199">
        <f>No.Of.Shares.Data</f>
        <v>387.6</v>
      </c>
      <c r="K54" s="199">
        <f>No.Of.Shares.Data</f>
        <v>388.7</v>
      </c>
      <c r="L54" s="200">
        <f>No.Of.Shares.Data</f>
        <v>394</v>
      </c>
    </row>
    <row r="55" spans="1:46" ht="14" thickBot="1" x14ac:dyDescent="0.2">
      <c r="B55" s="37"/>
      <c r="C55" s="37"/>
      <c r="N55" s="15"/>
      <c r="O55" s="15"/>
      <c r="P55" s="15"/>
      <c r="Q55" s="15"/>
      <c r="R55" s="15"/>
      <c r="S55" s="15"/>
      <c r="T55" s="15"/>
      <c r="U55" s="15"/>
      <c r="V55" s="15"/>
      <c r="W55" s="15"/>
      <c r="X55" s="15"/>
    </row>
    <row r="56" spans="1:46" ht="16" x14ac:dyDescent="0.2">
      <c r="A56" s="240" t="s">
        <v>100</v>
      </c>
      <c r="B56" s="39"/>
      <c r="C56" s="39"/>
      <c r="D56" s="40"/>
      <c r="E56" s="40"/>
      <c r="F56" s="40"/>
      <c r="G56" s="261"/>
      <c r="H56" s="40"/>
      <c r="I56" s="40"/>
      <c r="J56" s="40"/>
      <c r="K56" s="40"/>
      <c r="L56" s="40"/>
      <c r="M56" s="41"/>
      <c r="N56" s="15"/>
      <c r="O56" s="15"/>
      <c r="P56" s="15"/>
      <c r="Q56" s="15"/>
      <c r="R56" s="15"/>
      <c r="S56" s="15"/>
      <c r="T56" s="15"/>
      <c r="U56" s="15"/>
      <c r="V56" s="15"/>
      <c r="W56" s="15"/>
      <c r="X56" s="15"/>
      <c r="AL56" s="15"/>
    </row>
    <row r="57" spans="1:46" x14ac:dyDescent="0.15">
      <c r="A57" s="62" t="s">
        <v>37</v>
      </c>
      <c r="B57" s="10"/>
      <c r="C57" s="10"/>
      <c r="D57" s="42"/>
      <c r="E57" s="42"/>
      <c r="F57" s="42"/>
      <c r="G57" s="262"/>
      <c r="H57" s="42"/>
      <c r="I57" s="42"/>
      <c r="J57" s="42"/>
      <c r="K57" s="42"/>
      <c r="L57" s="42"/>
      <c r="M57" s="43"/>
      <c r="O57" s="15"/>
      <c r="P57" s="15"/>
      <c r="Q57" s="15"/>
      <c r="R57" s="15"/>
      <c r="S57" s="15"/>
      <c r="T57" s="15"/>
      <c r="U57" s="15"/>
      <c r="V57" s="15"/>
      <c r="W57" s="15"/>
      <c r="X57" s="15"/>
      <c r="AL57" s="15"/>
    </row>
    <row r="58" spans="1:46" x14ac:dyDescent="0.15">
      <c r="A58" s="63" t="s">
        <v>38</v>
      </c>
      <c r="B58" s="66">
        <f>CurrentAssets/CurrentLiabilities</f>
        <v>1.9627089921612024</v>
      </c>
      <c r="C58" s="66">
        <f>CurrentAssets/CurrentLiabilities</f>
        <v>2.2178439665585281</v>
      </c>
      <c r="D58" s="66">
        <f>CurrentAssets/CurrentLiabilities</f>
        <v>2.2418913345082307</v>
      </c>
      <c r="E58" s="66">
        <f>CurrentAssets/CurrentLiabilities</f>
        <v>2.240918763164788</v>
      </c>
      <c r="F58" s="66">
        <f>CurrentAssets/CurrentLiabilities</f>
        <v>3.3498734116026272</v>
      </c>
      <c r="G58" s="263"/>
      <c r="H58" s="66">
        <f>CurrentAssets/CurrentLiabilities</f>
        <v>2.0923862146469374</v>
      </c>
      <c r="I58" s="66">
        <f>CurrentAssets/CurrentLiabilities</f>
        <v>2.3460883940292705</v>
      </c>
      <c r="J58" s="66">
        <f>CurrentAssets/CurrentLiabilities</f>
        <v>2.2212343636927532</v>
      </c>
      <c r="K58" s="66">
        <f>CurrentAssets/CurrentLiabilities</f>
        <v>1.8134819832533637</v>
      </c>
      <c r="L58" s="66">
        <f>CurrentAssets/CurrentLiabilities</f>
        <v>1.8970308238563269</v>
      </c>
      <c r="M58" s="44"/>
      <c r="O58" s="15"/>
      <c r="P58" s="15"/>
      <c r="Q58" s="15"/>
      <c r="R58" s="15"/>
      <c r="S58" s="15"/>
      <c r="T58" s="15"/>
      <c r="U58" s="15"/>
      <c r="V58" s="15"/>
      <c r="W58" s="15"/>
      <c r="X58" s="15"/>
      <c r="AL58" s="15"/>
    </row>
    <row r="59" spans="1:46" x14ac:dyDescent="0.15">
      <c r="A59" s="63" t="s">
        <v>39</v>
      </c>
      <c r="B59" s="66">
        <f>(CurrentAssets-Inventories)/CurrentLiabilities</f>
        <v>0.84805326493098798</v>
      </c>
      <c r="C59" s="66">
        <f>(CurrentAssets-Inventories)/CurrentLiabilities</f>
        <v>0.98139261616386464</v>
      </c>
      <c r="D59" s="66">
        <f>(CurrentAssets-Inventories)/CurrentLiabilities</f>
        <v>1.181981803864889</v>
      </c>
      <c r="E59" s="66">
        <f>(CurrentAssets-Inventories)/CurrentLiabilities</f>
        <v>1.1931648958120276</v>
      </c>
      <c r="F59" s="66">
        <f>(CurrentAssets-Inventories)/CurrentLiabilities</f>
        <v>1.860335836903388</v>
      </c>
      <c r="G59" s="263"/>
      <c r="H59" s="66">
        <f>(CurrentAssets-Inventories)/CurrentLiabilities</f>
        <v>1.5230848473496905</v>
      </c>
      <c r="I59" s="66">
        <f>(CurrentAssets-Inventories)/CurrentLiabilities</f>
        <v>1.7169251713910634</v>
      </c>
      <c r="J59" s="66">
        <f>(CurrentAssets-Inventories)/CurrentLiabilities</f>
        <v>1.6454564251007959</v>
      </c>
      <c r="K59" s="66">
        <f>(CurrentAssets-Inventories)/CurrentLiabilities</f>
        <v>1.350785586602691</v>
      </c>
      <c r="L59" s="66">
        <f>(CurrentAssets-Inventories)/CurrentLiabilities</f>
        <v>1.3847064272114444</v>
      </c>
      <c r="M59" s="44"/>
      <c r="O59" s="15"/>
      <c r="P59" s="15"/>
      <c r="Q59" s="15"/>
      <c r="R59" s="15"/>
      <c r="S59" s="15"/>
      <c r="T59" s="15"/>
      <c r="U59" s="15"/>
      <c r="V59" s="15"/>
      <c r="W59" s="15"/>
      <c r="X59" s="15"/>
      <c r="AL59" s="15"/>
    </row>
    <row r="60" spans="1:46" ht="16" x14ac:dyDescent="0.2">
      <c r="A60" s="62" t="s">
        <v>40</v>
      </c>
      <c r="B60" s="45"/>
      <c r="C60" s="45"/>
      <c r="D60" s="45"/>
      <c r="E60" s="46"/>
      <c r="F60" s="45"/>
      <c r="G60" s="264"/>
      <c r="H60" s="45"/>
      <c r="I60" s="45"/>
      <c r="J60" s="45"/>
      <c r="K60" s="46"/>
      <c r="L60" s="45"/>
      <c r="M60" s="47"/>
      <c r="O60" s="15"/>
      <c r="P60" s="15"/>
      <c r="Q60" s="15"/>
      <c r="R60" s="15"/>
      <c r="S60" s="15"/>
      <c r="T60" s="15"/>
      <c r="U60" s="15"/>
      <c r="V60" s="15"/>
      <c r="W60" s="15"/>
      <c r="X60" s="15"/>
      <c r="AL60" s="15"/>
    </row>
    <row r="61" spans="1:46" x14ac:dyDescent="0.15">
      <c r="A61" s="175" t="s">
        <v>93</v>
      </c>
      <c r="B61" s="66">
        <f>COGS/Inventories</f>
        <v>2.5855528786242421</v>
      </c>
      <c r="C61" s="66">
        <f>COGS/Inventories</f>
        <v>2.0501614397950569</v>
      </c>
      <c r="D61" s="66">
        <f>COGS/Inventories</f>
        <v>2.3018711366399298</v>
      </c>
      <c r="E61" s="66">
        <f>COGS/Inventories</f>
        <v>2.1550342994722369</v>
      </c>
      <c r="F61" s="66">
        <f>COGS/Inventories</f>
        <v>2.5119181872023497</v>
      </c>
      <c r="G61" s="263"/>
      <c r="H61" s="66">
        <f>COGS/Inventories</f>
        <v>1.7277512748807369</v>
      </c>
      <c r="I61" s="66">
        <f>COGS/Inventories</f>
        <v>1.6678516228748066</v>
      </c>
      <c r="J61" s="66">
        <f>COGS/Inventories</f>
        <v>1.8187449501750605</v>
      </c>
      <c r="K61" s="66">
        <f>COGS/Inventories</f>
        <v>2.0290768605124034</v>
      </c>
      <c r="L61" s="66">
        <f>COGS/Inventories</f>
        <v>1.9454600241060667</v>
      </c>
      <c r="M61" s="44"/>
      <c r="O61" s="15"/>
      <c r="P61" s="15"/>
      <c r="Q61" s="15"/>
      <c r="R61" s="15"/>
      <c r="S61" s="15"/>
      <c r="T61" s="15"/>
      <c r="U61" s="15"/>
      <c r="V61" s="15"/>
      <c r="W61" s="15"/>
      <c r="X61" s="15"/>
      <c r="AL61" s="15"/>
    </row>
    <row r="62" spans="1:46" x14ac:dyDescent="0.15">
      <c r="A62" s="175" t="s">
        <v>92</v>
      </c>
      <c r="B62" s="67">
        <f>Inventories/(COGS/365)</f>
        <v>141.1690331370111</v>
      </c>
      <c r="C62" s="67">
        <f>Inventories/(COGS/365)</f>
        <v>178.03476005113382</v>
      </c>
      <c r="D62" s="67">
        <f>Inventories/(COGS/365)</f>
        <v>158.56665222919256</v>
      </c>
      <c r="E62" s="67">
        <f>Inventories/(COGS/365)</f>
        <v>169.37085413878921</v>
      </c>
      <c r="F62" s="67">
        <f>Inventories/(COGS/365)</f>
        <v>145.30728025283298</v>
      </c>
      <c r="G62" s="265"/>
      <c r="H62" s="67">
        <f>Inventories/(COGS/365)</f>
        <v>211.25725983052462</v>
      </c>
      <c r="I62" s="67">
        <f>Inventories/(COGS/365)</f>
        <v>218.84440737651749</v>
      </c>
      <c r="J62" s="67">
        <f>Inventories/(COGS/365)</f>
        <v>200.68784244039685</v>
      </c>
      <c r="K62" s="67">
        <f>Inventories/(COGS/365)</f>
        <v>179.88475799178278</v>
      </c>
      <c r="L62" s="67">
        <f>Inventories/(COGS/365)</f>
        <v>187.61629407816613</v>
      </c>
      <c r="M62" s="48"/>
      <c r="O62" s="15"/>
      <c r="P62" s="15"/>
      <c r="Q62" s="15"/>
      <c r="R62" s="15"/>
      <c r="S62" s="15"/>
      <c r="T62" s="15"/>
      <c r="U62" s="15"/>
      <c r="V62" s="15"/>
      <c r="W62" s="15"/>
      <c r="X62" s="15"/>
      <c r="AL62" s="15"/>
    </row>
    <row r="63" spans="1:46" x14ac:dyDescent="0.15">
      <c r="A63" s="64" t="s">
        <v>41</v>
      </c>
      <c r="B63" s="68">
        <f>Sales/AccountsReceivable</f>
        <v>9.2122298745897133</v>
      </c>
      <c r="C63" s="68">
        <f>Sales/AccountsReceivable</f>
        <v>7.2404263522505383</v>
      </c>
      <c r="D63" s="68">
        <f>Sales/AccountsReceivable</f>
        <v>6.3491875351218106</v>
      </c>
      <c r="E63" s="68">
        <f>Sales/AccountsReceivable</f>
        <v>6.5816222939178592</v>
      </c>
      <c r="F63" s="68">
        <f>Sales/AccountsReceivable</f>
        <v>7.0974870488220168</v>
      </c>
      <c r="G63" s="266"/>
      <c r="H63" s="68">
        <f>Sales/AccountsReceivable</f>
        <v>9.1787143465304375</v>
      </c>
      <c r="I63" s="68">
        <f>Sales/AccountsReceivable</f>
        <v>7.9524396432973248</v>
      </c>
      <c r="J63" s="68">
        <f>Sales/AccountsReceivable</f>
        <v>8.6896816591277641</v>
      </c>
      <c r="K63" s="68">
        <f>Sales/AccountsReceivable</f>
        <v>9.1611807978873916</v>
      </c>
      <c r="L63" s="68">
        <f>Sales/AccountsReceivable</f>
        <v>9.3168358714043986</v>
      </c>
      <c r="M63" s="49"/>
      <c r="O63" s="15"/>
      <c r="P63" s="15"/>
      <c r="Q63" s="15"/>
      <c r="R63" s="15"/>
      <c r="S63" s="15"/>
      <c r="T63" s="15"/>
      <c r="U63" s="15"/>
      <c r="V63" s="15"/>
      <c r="W63" s="15"/>
      <c r="X63" s="15"/>
      <c r="AL63" s="15"/>
    </row>
    <row r="64" spans="1:46" x14ac:dyDescent="0.15">
      <c r="A64" s="63" t="s">
        <v>42</v>
      </c>
      <c r="B64" s="67">
        <f>AccountsReceivable/(Sales/365)</f>
        <v>39.621243170102296</v>
      </c>
      <c r="C64" s="67">
        <f>AccountsReceivable/(Sales/365)</f>
        <v>50.411395992799129</v>
      </c>
      <c r="D64" s="67">
        <f>AccountsReceivable/(Sales/365)</f>
        <v>57.487670348517653</v>
      </c>
      <c r="E64" s="67">
        <f>AccountsReceivable/(Sales/365)</f>
        <v>55.457451628195074</v>
      </c>
      <c r="F64" s="67">
        <f>AccountsReceivable/(Sales/365)</f>
        <v>51.42665248830285</v>
      </c>
      <c r="G64" s="265"/>
      <c r="H64" s="67">
        <f>AccountsReceivable/(Sales/365)</f>
        <v>39.765917776705876</v>
      </c>
      <c r="I64" s="67">
        <f>AccountsReceivable/(Sales/365)</f>
        <v>45.897864853037703</v>
      </c>
      <c r="J64" s="67">
        <f>AccountsReceivable/(Sales/365)</f>
        <v>42.003840223145446</v>
      </c>
      <c r="K64" s="67">
        <f>AccountsReceivable/(Sales/365)</f>
        <v>39.842025613572716</v>
      </c>
      <c r="L64" s="67">
        <f>AccountsReceivable/(Sales/365)</f>
        <v>39.176390465380251</v>
      </c>
      <c r="M64" s="48"/>
      <c r="O64" s="15"/>
      <c r="P64" s="15"/>
      <c r="Q64" s="15"/>
      <c r="R64" s="15"/>
      <c r="S64" s="15"/>
      <c r="T64" s="15"/>
      <c r="U64" s="15"/>
      <c r="V64" s="15"/>
      <c r="W64" s="15"/>
      <c r="X64" s="15"/>
      <c r="AL64" s="15"/>
    </row>
    <row r="65" spans="1:38" x14ac:dyDescent="0.15">
      <c r="A65" s="63" t="s">
        <v>43</v>
      </c>
      <c r="B65" s="66">
        <f>Sales/(TotalAssets-CurrentAssets)</f>
        <v>2.4943183569469132</v>
      </c>
      <c r="C65" s="66">
        <f>Sales/(TotalAssets-CurrentAssets)</f>
        <v>2.5651395146454576</v>
      </c>
      <c r="D65" s="66">
        <f>Sales/(TotalAssets-CurrentAssets)</f>
        <v>3.0142673628470158</v>
      </c>
      <c r="E65" s="66">
        <f>Sales/(TotalAssets-CurrentAssets)</f>
        <v>2.7998946314021032</v>
      </c>
      <c r="F65" s="66">
        <f>Sales/(TotalAssets-CurrentAssets)</f>
        <v>3.9125557926129084</v>
      </c>
      <c r="G65" s="263"/>
      <c r="H65" s="66">
        <f>Sales/(TotalAssets-CurrentAssets)</f>
        <v>2.8589916991540041</v>
      </c>
      <c r="I65" s="66">
        <f>Sales/(TotalAssets-CurrentAssets)</f>
        <v>3.6038901301090815</v>
      </c>
      <c r="J65" s="66">
        <f>Sales/(TotalAssets-CurrentAssets)</f>
        <v>3.5750351123595507</v>
      </c>
      <c r="K65" s="66">
        <f>Sales/(TotalAssets-CurrentAssets)</f>
        <v>3.5478286277804156</v>
      </c>
      <c r="L65" s="66">
        <f>Sales/(TotalAssets-CurrentAssets)</f>
        <v>3.4049625106284296</v>
      </c>
      <c r="M65" s="44"/>
      <c r="O65" s="15"/>
      <c r="P65" s="15"/>
      <c r="Q65" s="15"/>
      <c r="R65" s="15"/>
      <c r="S65" s="15"/>
      <c r="T65" s="15"/>
      <c r="U65" s="15"/>
      <c r="V65" s="15"/>
      <c r="W65" s="15"/>
      <c r="X65" s="15"/>
      <c r="AL65" s="15"/>
    </row>
    <row r="66" spans="1:38" x14ac:dyDescent="0.15">
      <c r="A66" s="63" t="s">
        <v>44</v>
      </c>
      <c r="B66" s="66">
        <f>Sales/TotalAssets</f>
        <v>1.1941334736800684</v>
      </c>
      <c r="C66" s="66">
        <f>Sales/TotalAssets</f>
        <v>1.096689784703665</v>
      </c>
      <c r="D66" s="66">
        <f>Sales/TotalAssets</f>
        <v>1.2181607491673703</v>
      </c>
      <c r="E66" s="66">
        <f>Sales/TotalAssets</f>
        <v>1.1607858981545887</v>
      </c>
      <c r="F66" s="66">
        <f>Sales/TotalAssets</f>
        <v>1.3751159577790855</v>
      </c>
      <c r="G66" s="263"/>
      <c r="H66" s="66">
        <f>Sales/TotalAssets</f>
        <v>1.3084280027187107</v>
      </c>
      <c r="I66" s="66">
        <f>Sales/TotalAssets</f>
        <v>1.3939609597397316</v>
      </c>
      <c r="J66" s="66">
        <f>Sales/TotalAssets</f>
        <v>1.4249706096400383</v>
      </c>
      <c r="K66" s="66">
        <f>Sales/TotalAssets</f>
        <v>1.4733201880782649</v>
      </c>
      <c r="L66" s="66">
        <f>Sales/TotalAssets</f>
        <v>1.4042302236248585</v>
      </c>
      <c r="M66" s="44"/>
      <c r="O66" s="15"/>
      <c r="P66" s="15"/>
      <c r="Q66" s="15"/>
      <c r="R66" s="15"/>
      <c r="S66" s="15"/>
      <c r="T66" s="15"/>
      <c r="U66" s="15"/>
      <c r="V66" s="15"/>
      <c r="W66" s="15"/>
      <c r="X66" s="15"/>
      <c r="AL66" s="15"/>
    </row>
    <row r="67" spans="1:38" x14ac:dyDescent="0.15">
      <c r="A67" s="64" t="s">
        <v>45</v>
      </c>
      <c r="B67" s="69">
        <f>AccountsPayable/(COGS/365)</f>
        <v>54.358345944869114</v>
      </c>
      <c r="C67" s="69">
        <f>AccountsPayable/(COGS/365)</f>
        <v>42.907918830832308</v>
      </c>
      <c r="D67" s="69">
        <f>AccountsPayable/(COGS/365)</f>
        <v>58.738211336677239</v>
      </c>
      <c r="E67" s="69">
        <f>AccountsPayable/(COGS/365)</f>
        <v>45.222291264728035</v>
      </c>
      <c r="F67" s="69">
        <f>AccountsPayable/(COGS/365)</f>
        <v>28.264639717839938</v>
      </c>
      <c r="G67" s="267"/>
      <c r="H67" s="69">
        <f>AccountsPayable/(COGS/365)</f>
        <v>110.40702656383891</v>
      </c>
      <c r="I67" s="69">
        <f>AccountsPayable/(COGS/365)</f>
        <v>88.704707626725991</v>
      </c>
      <c r="J67" s="69">
        <f>AccountsPayable/(COGS/365)</f>
        <v>86.786366553136872</v>
      </c>
      <c r="K67" s="69">
        <f>AccountsPayable/(COGS/365)</f>
        <v>90.308147108928765</v>
      </c>
      <c r="L67" s="69">
        <f>AccountsPayable/(COGS/365)</f>
        <v>84.178584335794298</v>
      </c>
      <c r="M67" s="50"/>
      <c r="O67" s="15"/>
      <c r="P67" s="15"/>
      <c r="Q67" s="15"/>
      <c r="R67" s="15"/>
      <c r="S67" s="15"/>
      <c r="T67" s="15"/>
      <c r="U67" s="15"/>
      <c r="V67" s="15"/>
      <c r="W67" s="15"/>
      <c r="X67" s="15"/>
      <c r="AL67" s="15"/>
    </row>
    <row r="68" spans="1:38" x14ac:dyDescent="0.15">
      <c r="A68" s="64" t="s">
        <v>46</v>
      </c>
      <c r="B68" s="69">
        <f>InventoryPeriod+DSO-AccountsPayablePeriod</f>
        <v>126.43193036224429</v>
      </c>
      <c r="C68" s="69">
        <f>InventoryPeriod+DSO-AccountsPayablePeriod</f>
        <v>185.53823721310064</v>
      </c>
      <c r="D68" s="69">
        <f>InventoryPeriod+DSO-AccountsPayablePeriod</f>
        <v>157.31611124103296</v>
      </c>
      <c r="E68" s="69">
        <f>InventoryPeriod+DSO-AccountsPayablePeriod</f>
        <v>179.60601450225624</v>
      </c>
      <c r="F68" s="69">
        <f>InventoryPeriod+DSO-AccountsPayablePeriod</f>
        <v>168.4692930232959</v>
      </c>
      <c r="G68" s="267"/>
      <c r="H68" s="69">
        <f>InventoryPeriod+DSO-AccountsPayablePeriod</f>
        <v>140.61615104339157</v>
      </c>
      <c r="I68" s="69">
        <f>InventoryPeriod+DSO-AccountsPayablePeriod</f>
        <v>176.03756460282918</v>
      </c>
      <c r="J68" s="69">
        <f>InventoryPeriod+DSO-AccountsPayablePeriod</f>
        <v>155.90531611040541</v>
      </c>
      <c r="K68" s="69">
        <f>InventoryPeriod+DSO-AccountsPayablePeriod</f>
        <v>129.4186364964267</v>
      </c>
      <c r="L68" s="69">
        <f>InventoryPeriod+DSO-AccountsPayablePeriod</f>
        <v>142.61410020775207</v>
      </c>
      <c r="M68" s="50"/>
      <c r="O68" s="15"/>
      <c r="P68" s="15"/>
      <c r="Q68" s="15"/>
      <c r="R68" s="15"/>
      <c r="S68" s="15"/>
      <c r="T68" s="15"/>
      <c r="U68" s="15"/>
      <c r="V68" s="15"/>
      <c r="W68" s="15"/>
      <c r="X68" s="15"/>
      <c r="AL68" s="15"/>
    </row>
    <row r="69" spans="1:38" x14ac:dyDescent="0.15">
      <c r="A69" s="62" t="s">
        <v>47</v>
      </c>
      <c r="B69" s="45"/>
      <c r="C69" s="45"/>
      <c r="D69" s="45"/>
      <c r="E69" s="45"/>
      <c r="F69" s="45"/>
      <c r="G69" s="264"/>
      <c r="H69" s="45"/>
      <c r="I69" s="45"/>
      <c r="J69" s="45"/>
      <c r="K69" s="45"/>
      <c r="L69" s="45"/>
      <c r="M69" s="47"/>
      <c r="O69" s="15"/>
      <c r="P69" s="15"/>
      <c r="Q69" s="15"/>
      <c r="R69" s="15"/>
      <c r="S69" s="15"/>
      <c r="T69" s="15"/>
      <c r="U69" s="15"/>
      <c r="V69" s="15"/>
      <c r="W69" s="15"/>
      <c r="X69" s="15"/>
      <c r="AL69" s="15"/>
    </row>
    <row r="70" spans="1:38" x14ac:dyDescent="0.15">
      <c r="A70" s="175" t="s">
        <v>66</v>
      </c>
      <c r="B70" s="70">
        <f>TotalDebt/TotalAssets</f>
        <v>0.77040520201076212</v>
      </c>
      <c r="C70" s="70">
        <f>TotalDebt/TotalAssets</f>
        <v>0.64532479068019399</v>
      </c>
      <c r="D70" s="70">
        <f>TotalDebt/TotalAssets</f>
        <v>0.53314572740484101</v>
      </c>
      <c r="E70" s="70">
        <f>TotalDebt/TotalAssets</f>
        <v>0.54841791078355462</v>
      </c>
      <c r="F70" s="70">
        <f>TotalDebt/TotalAssets</f>
        <v>0.51129279617049805</v>
      </c>
      <c r="G70" s="268"/>
      <c r="H70" s="70">
        <f>TotalDebt/TotalAssets</f>
        <v>0.55647392950771934</v>
      </c>
      <c r="I70" s="70">
        <f>TotalDebt/TotalAssets</f>
        <v>0.50826047173647826</v>
      </c>
      <c r="J70" s="70">
        <f>TotalDebt/TotalAssets</f>
        <v>0.53788557353188149</v>
      </c>
      <c r="K70" s="70">
        <f>TotalDebt/TotalAssets</f>
        <v>0.58327013499165781</v>
      </c>
      <c r="L70" s="70">
        <f>TotalDebt/TotalAssets</f>
        <v>0.57809337094948909</v>
      </c>
      <c r="M70" s="51"/>
      <c r="O70" s="15"/>
      <c r="P70" s="15"/>
      <c r="Q70" s="15"/>
      <c r="R70" s="15"/>
      <c r="S70" s="15"/>
      <c r="T70" s="15"/>
      <c r="U70" s="15"/>
      <c r="V70" s="15"/>
      <c r="W70" s="15"/>
      <c r="X70" s="15"/>
      <c r="AL70" s="15"/>
    </row>
    <row r="71" spans="1:38" x14ac:dyDescent="0.15">
      <c r="A71" s="175" t="s">
        <v>101</v>
      </c>
      <c r="B71" s="66">
        <f>TotalAssets/CommonEquity</f>
        <v>6.1422216179880511</v>
      </c>
      <c r="C71" s="66">
        <f>TotalAssets/CommonEquity</f>
        <v>2.8616832305000957</v>
      </c>
      <c r="D71" s="66">
        <f>TotalAssets/CommonEquity</f>
        <v>2.1419960332400509</v>
      </c>
      <c r="E71" s="66">
        <f>TotalAssets/CommonEquity</f>
        <v>2.2144368075694323</v>
      </c>
      <c r="F71" s="66">
        <f>TotalAssets/CommonEquity</f>
        <v>2.0462149773197851</v>
      </c>
      <c r="G71" s="263"/>
      <c r="H71" s="66">
        <f>TotalAssets/CommonEquity</f>
        <v>2.2615283267457178</v>
      </c>
      <c r="I71" s="66">
        <f>TotalAssets/CommonEquity</f>
        <v>2.0412462061272656</v>
      </c>
      <c r="J71" s="66">
        <f>TotalAssets/CommonEquity</f>
        <v>2.1738416136785417</v>
      </c>
      <c r="K71" s="66">
        <f>TotalAssets/CommonEquity</f>
        <v>2.4121908385774913</v>
      </c>
      <c r="L71" s="66">
        <f>TotalAssets/CommonEquity</f>
        <v>2.386057655738953</v>
      </c>
      <c r="M71" s="51"/>
      <c r="O71" s="15"/>
      <c r="P71" s="15"/>
      <c r="Q71" s="15"/>
      <c r="R71" s="15"/>
      <c r="S71" s="15"/>
      <c r="T71" s="15"/>
      <c r="U71" s="15"/>
      <c r="V71" s="15"/>
      <c r="W71" s="15"/>
      <c r="X71" s="15"/>
      <c r="AL71" s="15"/>
    </row>
    <row r="72" spans="1:38" x14ac:dyDescent="0.15">
      <c r="A72" s="63" t="s">
        <v>48</v>
      </c>
      <c r="B72" s="66">
        <f>EBIT/Interest</f>
        <v>-6.3837507594680352</v>
      </c>
      <c r="C72" s="66">
        <f>EBIT/Interest</f>
        <v>-2.4990900290416262</v>
      </c>
      <c r="D72" s="66">
        <f>EBIT/Interest</f>
        <v>2.96022049446707</v>
      </c>
      <c r="E72" s="66">
        <f>EBIT/Interest</f>
        <v>4.3784640838273816</v>
      </c>
      <c r="F72" s="66">
        <f>EBIT/Interest</f>
        <v>3.6113309436245986</v>
      </c>
      <c r="G72" s="263"/>
      <c r="H72" s="66">
        <f>EBIT/Interest</f>
        <v>35.148796498905888</v>
      </c>
      <c r="I72" s="66">
        <f>EBIT/Interest</f>
        <v>35.976377952755918</v>
      </c>
      <c r="J72" s="66">
        <f>EBIT/Interest</f>
        <v>30.039370078740191</v>
      </c>
      <c r="K72" s="66">
        <f>EBIT/Interest</f>
        <v>25.922924901185784</v>
      </c>
      <c r="L72" s="66">
        <f>EBIT/Interest</f>
        <v>17.048513302034422</v>
      </c>
      <c r="M72" s="44"/>
      <c r="O72" s="15"/>
      <c r="P72" s="15"/>
      <c r="Q72" s="15"/>
      <c r="R72" s="15"/>
      <c r="S72" s="15"/>
      <c r="T72" s="15"/>
      <c r="U72" s="15"/>
      <c r="V72" s="15"/>
      <c r="W72" s="15"/>
      <c r="X72" s="15"/>
      <c r="AL72" s="15"/>
    </row>
    <row r="73" spans="1:38" x14ac:dyDescent="0.15">
      <c r="A73" s="242" t="s">
        <v>49</v>
      </c>
      <c r="B73" s="45"/>
      <c r="C73" s="45"/>
      <c r="D73" s="45"/>
      <c r="E73" s="45"/>
      <c r="F73" s="45"/>
      <c r="G73" s="264"/>
      <c r="H73" s="45"/>
      <c r="I73" s="45"/>
      <c r="J73" s="45"/>
      <c r="K73" s="45"/>
      <c r="L73" s="45"/>
      <c r="M73" s="47"/>
      <c r="O73" s="15"/>
      <c r="P73" s="15"/>
      <c r="Q73" s="15"/>
      <c r="R73" s="15"/>
      <c r="S73" s="15"/>
      <c r="T73" s="15"/>
      <c r="U73" s="15"/>
      <c r="V73" s="15"/>
      <c r="W73" s="15"/>
      <c r="X73" s="15"/>
      <c r="AL73" s="15"/>
    </row>
    <row r="74" spans="1:38" x14ac:dyDescent="0.15">
      <c r="A74" s="62" t="s">
        <v>50</v>
      </c>
      <c r="B74" s="45"/>
      <c r="C74" s="45"/>
      <c r="D74" s="45"/>
      <c r="E74" s="45"/>
      <c r="F74" s="45"/>
      <c r="G74" s="264"/>
      <c r="H74" s="45"/>
      <c r="I74" s="45"/>
      <c r="J74" s="45"/>
      <c r="K74" s="45"/>
      <c r="L74" s="45"/>
      <c r="M74" s="47"/>
      <c r="O74" s="15"/>
      <c r="P74" s="15"/>
      <c r="Q74" s="15"/>
      <c r="R74" s="15"/>
      <c r="S74" s="15"/>
      <c r="T74" s="15"/>
      <c r="U74" s="15"/>
      <c r="V74" s="15"/>
      <c r="W74" s="15"/>
      <c r="X74" s="15"/>
      <c r="AL74" s="15"/>
    </row>
    <row r="75" spans="1:38" x14ac:dyDescent="0.15">
      <c r="A75" s="63" t="s">
        <v>51</v>
      </c>
      <c r="B75" s="70">
        <f>NetIncome/Sales</f>
        <v>-0.25365720040613821</v>
      </c>
      <c r="C75" s="70">
        <f>NetIncome/Sales</f>
        <v>-0.1251631876211024</v>
      </c>
      <c r="D75" s="70">
        <f>NetIncome/Sales</f>
        <v>3.0279139888272643E-2</v>
      </c>
      <c r="E75" s="70">
        <f>NetIncome/Sales</f>
        <v>4.6370226920880935E-2</v>
      </c>
      <c r="F75" s="70">
        <f>NetIncome/Sales</f>
        <v>3.4869417269247131E-2</v>
      </c>
      <c r="G75" s="268"/>
      <c r="H75" s="70">
        <f>NetIncome/Sales</f>
        <v>0.10100738377054648</v>
      </c>
      <c r="I75" s="70">
        <f>NetIncome/Sales</f>
        <v>0.10977499817664653</v>
      </c>
      <c r="J75" s="70">
        <f>NetIncome/Sales</f>
        <v>0.10016009114391525</v>
      </c>
      <c r="K75" s="70">
        <f>NetIncome/Sales</f>
        <v>8.8216521166200046E-2</v>
      </c>
      <c r="L75" s="70">
        <f>NetIncome/Sales</f>
        <v>7.9545970488081666E-2</v>
      </c>
      <c r="M75" s="51"/>
      <c r="O75" s="15"/>
      <c r="P75" s="15"/>
      <c r="Q75" s="15"/>
      <c r="R75" s="15"/>
      <c r="S75" s="15"/>
      <c r="T75" s="15"/>
      <c r="U75" s="15"/>
      <c r="V75" s="15"/>
      <c r="W75" s="15"/>
      <c r="X75" s="15"/>
      <c r="AL75" s="15"/>
    </row>
    <row r="76" spans="1:38" x14ac:dyDescent="0.15">
      <c r="A76" s="63" t="s">
        <v>52</v>
      </c>
      <c r="B76" s="70">
        <f>EBIT/TotalAssets</f>
        <v>-0.23256200013772343</v>
      </c>
      <c r="C76" s="70">
        <f>EBIT/TotalAssets</f>
        <v>-6.0791049429521696E-2</v>
      </c>
      <c r="D76" s="70">
        <f>EBIT/TotalAssets</f>
        <v>6.5196986224916917E-2</v>
      </c>
      <c r="E76" s="70">
        <f>EBIT/TotalAssets</f>
        <v>8.9309250305131274E-2</v>
      </c>
      <c r="F76" s="70">
        <f>EBIT/TotalAssets</f>
        <v>9.0748294704136576E-2</v>
      </c>
      <c r="G76" s="268"/>
      <c r="H76" s="70">
        <f>EBIT/TotalAssets</f>
        <v>0.19495824837362843</v>
      </c>
      <c r="I76" s="70">
        <f>EBIT/TotalAssets</f>
        <v>0.23225904839365602</v>
      </c>
      <c r="J76" s="70">
        <f>EBIT/TotalAssets</f>
        <v>0.21356994905670965</v>
      </c>
      <c r="K76" s="70">
        <f>EBIT/TotalAssets</f>
        <v>0.19895343546185359</v>
      </c>
      <c r="L76" s="70">
        <f>EBIT/TotalAssets</f>
        <v>0.17364000063756188</v>
      </c>
      <c r="M76" s="51"/>
      <c r="O76" s="15"/>
      <c r="P76" s="15"/>
      <c r="Q76" s="15"/>
      <c r="R76" s="15"/>
      <c r="S76" s="15"/>
      <c r="T76" s="15"/>
      <c r="U76" s="15"/>
      <c r="V76" s="15"/>
      <c r="W76" s="15"/>
      <c r="X76" s="15"/>
      <c r="AL76" s="15"/>
    </row>
    <row r="77" spans="1:38" x14ac:dyDescent="0.15">
      <c r="A77" s="63" t="s">
        <v>53</v>
      </c>
      <c r="B77" s="70">
        <f>NetIncome/TotalAssets</f>
        <v>-0.30290055384494308</v>
      </c>
      <c r="C77" s="70">
        <f>NetIncome/TotalAssets</f>
        <v>-0.13726518928501119</v>
      </c>
      <c r="D77" s="70">
        <f>NetIncome/TotalAssets</f>
        <v>3.688485973044181E-2</v>
      </c>
      <c r="E77" s="70">
        <f>NetIncome/TotalAssets</f>
        <v>5.3825905503986859E-2</v>
      </c>
      <c r="F77" s="70">
        <f>NetIncome/TotalAssets</f>
        <v>4.7949492125399347E-2</v>
      </c>
      <c r="G77" s="268"/>
      <c r="H77" s="70">
        <f>NetIncome/TotalAssets</f>
        <v>0.13216088940673842</v>
      </c>
      <c r="I77" s="70">
        <f>NetIncome/TotalAssets</f>
        <v>0.15302206181374547</v>
      </c>
      <c r="J77" s="70">
        <f>NetIncome/TotalAssets</f>
        <v>0.14272518613894669</v>
      </c>
      <c r="K77" s="70">
        <f>NetIncome/TotalAssets</f>
        <v>0.12997118155619608</v>
      </c>
      <c r="L77" s="70">
        <f>NetIncome/TotalAssets</f>
        <v>0.11170085592693531</v>
      </c>
      <c r="M77" s="51"/>
      <c r="O77" s="15"/>
      <c r="P77" s="15"/>
      <c r="Q77" s="15"/>
      <c r="R77" s="15"/>
      <c r="S77" s="15"/>
      <c r="T77" s="15"/>
      <c r="U77" s="15"/>
      <c r="V77" s="15"/>
      <c r="W77" s="15"/>
      <c r="X77" s="15"/>
      <c r="AL77" s="15"/>
    </row>
    <row r="78" spans="1:38" x14ac:dyDescent="0.15">
      <c r="A78" s="63" t="s">
        <v>54</v>
      </c>
      <c r="B78" s="70">
        <f>NetIncome/CommonEquity</f>
        <v>-1.8604823299269633</v>
      </c>
      <c r="C78" s="70">
        <f>NetIncome/CommonEquity</f>
        <v>-0.39280949030833801</v>
      </c>
      <c r="D78" s="70">
        <f>NetIncome/CommonEquity</f>
        <v>7.9007223229222059E-2</v>
      </c>
      <c r="E78" s="70">
        <f>NetIncome/CommonEquity</f>
        <v>0.11919406634878262</v>
      </c>
      <c r="F78" s="70">
        <f>NetIncome/CommonEquity</f>
        <v>9.8114968941869232E-2</v>
      </c>
      <c r="G78" s="268"/>
      <c r="H78" s="70">
        <f>NetIncome/CommonEquity</f>
        <v>0.29888559508124707</v>
      </c>
      <c r="I78" s="70">
        <f>NetIncome/CommonEquity</f>
        <v>0.31235570313107991</v>
      </c>
      <c r="J78" s="70">
        <f>NetIncome/CommonEquity</f>
        <v>0.31026194894885811</v>
      </c>
      <c r="K78" s="70">
        <f>NetIncome/CommonEquity</f>
        <v>0.31351529342894802</v>
      </c>
      <c r="L78" s="70">
        <f>NetIncome/CommonEquity</f>
        <v>0.26652468243705779</v>
      </c>
      <c r="M78" s="51"/>
      <c r="O78" s="15"/>
      <c r="P78" s="15"/>
      <c r="Q78" s="15"/>
      <c r="R78" s="15"/>
      <c r="S78" s="15"/>
      <c r="T78" s="15"/>
      <c r="U78" s="15"/>
      <c r="V78" s="15"/>
      <c r="W78" s="15"/>
      <c r="X78" s="15"/>
      <c r="AL78" s="15"/>
    </row>
    <row r="79" spans="1:38" ht="14.25" customHeight="1" x14ac:dyDescent="0.15">
      <c r="A79" s="62" t="s">
        <v>55</v>
      </c>
      <c r="B79" s="45"/>
      <c r="C79" s="45"/>
      <c r="D79" s="45"/>
      <c r="E79" s="45"/>
      <c r="F79" s="45"/>
      <c r="G79" s="264"/>
      <c r="H79" s="45"/>
      <c r="I79" s="45"/>
      <c r="J79" s="45"/>
      <c r="K79" s="45"/>
      <c r="L79" s="45"/>
      <c r="M79" s="47"/>
      <c r="O79" s="15"/>
      <c r="P79" s="15"/>
      <c r="Q79" s="15"/>
      <c r="R79" s="15"/>
      <c r="S79" s="15"/>
      <c r="T79" s="15"/>
      <c r="U79" s="15"/>
      <c r="V79" s="15"/>
      <c r="W79" s="15"/>
      <c r="X79" s="15"/>
      <c r="AL79" s="15"/>
    </row>
    <row r="80" spans="1:38" x14ac:dyDescent="0.15">
      <c r="A80" s="63" t="s">
        <v>56</v>
      </c>
      <c r="B80" s="66">
        <f>MVPS/EPS</f>
        <v>-1.8052324155793542</v>
      </c>
      <c r="C80" s="66">
        <f>MVPS/EPS</f>
        <v>-4.796706192358366</v>
      </c>
      <c r="D80" s="66">
        <f>MVPS/EPS</f>
        <v>28.804674707081624</v>
      </c>
      <c r="E80" s="66">
        <f>MVPS/EPS</f>
        <v>20.77433515038576</v>
      </c>
      <c r="F80" s="66">
        <f>MVPS/EPS</f>
        <v>22.416233623655128</v>
      </c>
      <c r="G80" s="263"/>
      <c r="H80" s="66">
        <f>MVPS/EPS</f>
        <v>28.591187436862914</v>
      </c>
      <c r="I80" s="66">
        <f>MVPS/EPS</f>
        <v>23.477983556183034</v>
      </c>
      <c r="J80" s="66">
        <f>MVPS/EPS</f>
        <v>25.776654245930526</v>
      </c>
      <c r="K80" s="66">
        <f>MVPS/EPS</f>
        <v>26.690521647800185</v>
      </c>
      <c r="L80" s="66">
        <f>MVPS/EPS</f>
        <v>58.17796803652972</v>
      </c>
      <c r="M80" s="44"/>
      <c r="O80" s="15"/>
      <c r="P80" s="15"/>
      <c r="Q80" s="15"/>
      <c r="R80" s="15"/>
      <c r="S80" s="15"/>
      <c r="T80" s="15"/>
      <c r="U80" s="15"/>
      <c r="V80" s="15"/>
      <c r="W80" s="15"/>
      <c r="X80" s="15"/>
      <c r="AL80" s="15"/>
    </row>
    <row r="81" spans="1:46" x14ac:dyDescent="0.15">
      <c r="A81" s="63" t="s">
        <v>57</v>
      </c>
      <c r="B81" s="66">
        <f>MVPS/((NetIncome+Depreciation)/No.Of.Shares)</f>
        <v>-2.163313987146867</v>
      </c>
      <c r="C81" s="66">
        <f>MVPS/((NetIncome+Depreciation)/No.Of.Shares)</f>
        <v>-6.8979868950817078</v>
      </c>
      <c r="D81" s="66">
        <f>MVPS/((NetIncome+Depreciation)/No.Of.Shares)</f>
        <v>14.604666749694873</v>
      </c>
      <c r="E81" s="66">
        <f>MVPS/((NetIncome+Depreciation)/No.Of.Shares)</f>
        <v>13.835500951099563</v>
      </c>
      <c r="F81" s="66">
        <f>MVPS/((NetIncome+Depreciation)/No.Of.Shares)</f>
        <v>13.977622271240588</v>
      </c>
      <c r="G81" s="263"/>
      <c r="H81" s="66">
        <f>MVPS/((NetIncome+Depreciation)/No.Of.Shares)</f>
        <v>28.591187436862914</v>
      </c>
      <c r="I81" s="66">
        <f>MVPS/((NetIncome+Depreciation)/No.Of.Shares)</f>
        <v>23.534665334665327</v>
      </c>
      <c r="J81" s="66">
        <f>MVPS/((NetIncome+Depreciation)/No.Of.Shares)</f>
        <v>24.973429602888039</v>
      </c>
      <c r="K81" s="66">
        <f>MVPS/((NetIncome+Depreciation)/No.Of.Shares)</f>
        <v>24.377646557237245</v>
      </c>
      <c r="L81" s="66">
        <f>MVPS/((NetIncome+Depreciation)/No.Of.Shares)</f>
        <v>51.753135313531388</v>
      </c>
      <c r="M81" s="44"/>
      <c r="O81" s="15"/>
      <c r="P81" s="15"/>
      <c r="Q81" s="15"/>
      <c r="R81" s="15"/>
      <c r="S81" s="15"/>
      <c r="T81" s="15"/>
      <c r="U81" s="15"/>
      <c r="V81" s="15"/>
      <c r="W81" s="15"/>
      <c r="X81" s="15"/>
      <c r="AL81" s="15"/>
    </row>
    <row r="82" spans="1:46" x14ac:dyDescent="0.15">
      <c r="A82" s="63" t="s">
        <v>58</v>
      </c>
      <c r="B82" s="66">
        <f>MVPS/BVPS</f>
        <v>3.3586030105967568</v>
      </c>
      <c r="C82" s="66">
        <f>MVPS/BVPS</f>
        <v>1.8841917145791385</v>
      </c>
      <c r="D82" s="66">
        <f>MVPS/BVPS</f>
        <v>2.2757773646275243</v>
      </c>
      <c r="E82" s="66">
        <f>MVPS/BVPS</f>
        <v>2.4761774822669271</v>
      </c>
      <c r="F82" s="66">
        <f>MVPS/BVPS</f>
        <v>2.1993680657786077</v>
      </c>
      <c r="G82" s="263" t="s">
        <v>59</v>
      </c>
      <c r="H82" s="66">
        <f>MVPS/BVPS</f>
        <v>8.5454940711462459</v>
      </c>
      <c r="I82" s="66">
        <f>MVPS/BVPS</f>
        <v>7.333482061791484</v>
      </c>
      <c r="J82" s="66">
        <f>MVPS/BVPS</f>
        <v>7.9975149837232635</v>
      </c>
      <c r="K82" s="66">
        <f>MVPS/BVPS</f>
        <v>8.367886726181764</v>
      </c>
      <c r="L82" s="66">
        <f>MVPS/BVPS</f>
        <v>15.505864455769382</v>
      </c>
      <c r="M82" s="44"/>
      <c r="O82" s="15"/>
      <c r="P82" s="15"/>
      <c r="Q82" s="15"/>
      <c r="R82" s="15"/>
      <c r="S82" s="15"/>
      <c r="T82" s="15"/>
      <c r="U82" s="15"/>
      <c r="V82" s="15"/>
      <c r="W82" s="15"/>
      <c r="X82" s="15"/>
      <c r="AB82" s="13" t="s">
        <v>59</v>
      </c>
      <c r="AC82" s="13" t="s">
        <v>59</v>
      </c>
      <c r="AE82" s="13" t="s">
        <v>59</v>
      </c>
      <c r="AF82" s="13" t="s">
        <v>59</v>
      </c>
      <c r="AG82" s="13" t="s">
        <v>59</v>
      </c>
      <c r="AH82" s="13" t="s">
        <v>59</v>
      </c>
      <c r="AI82" s="13" t="s">
        <v>59</v>
      </c>
      <c r="AL82" s="15"/>
    </row>
    <row r="83" spans="1:46" ht="14" thickBot="1" x14ac:dyDescent="0.2">
      <c r="A83" s="65" t="s">
        <v>60</v>
      </c>
      <c r="B83" s="71">
        <f>CommonEquity/No.Of.Shares</f>
        <v>4.4423231780968999</v>
      </c>
      <c r="C83" s="71">
        <f>CommonEquity/No.Of.Shares</f>
        <v>12.482806191117092</v>
      </c>
      <c r="D83" s="71">
        <f>CommonEquity/No.Of.Shares</f>
        <v>17.365934214073874</v>
      </c>
      <c r="E83" s="71">
        <f>CommonEquity/No.Of.Shares</f>
        <v>16.545663747209343</v>
      </c>
      <c r="F83" s="71">
        <f>CommonEquity/No.Of.Shares</f>
        <v>15.004309880400818</v>
      </c>
      <c r="G83" s="269"/>
      <c r="H83" s="71">
        <f>CommonEquity/No.Of.Shares</f>
        <v>9.6050619562351685</v>
      </c>
      <c r="I83" s="71">
        <f>CommonEquity/No.Of.Shares</f>
        <v>9.9816157431382742</v>
      </c>
      <c r="J83" s="71">
        <f>CommonEquity/No.Of.Shares</f>
        <v>8.4801341589267292</v>
      </c>
      <c r="K83" s="71">
        <f>CommonEquity/No.Of.Shares</f>
        <v>7.0316439413429386</v>
      </c>
      <c r="L83" s="71">
        <f>CommonEquity/No.Of.Shares</f>
        <v>6.6736040609137035</v>
      </c>
      <c r="M83" s="29"/>
      <c r="P83" s="17"/>
      <c r="Q83" s="17"/>
      <c r="R83" s="17"/>
      <c r="S83" s="17"/>
      <c r="T83" s="17"/>
      <c r="U83" s="17"/>
      <c r="V83" s="17"/>
      <c r="W83" s="17"/>
      <c r="X83" s="17"/>
      <c r="Y83" s="52"/>
      <c r="Z83" s="15"/>
      <c r="AA83" s="15"/>
      <c r="AB83" s="15"/>
      <c r="AC83" s="15"/>
      <c r="AD83" s="288"/>
      <c r="AE83" s="15"/>
      <c r="AF83" s="15"/>
      <c r="AG83" s="15"/>
      <c r="AH83" s="15"/>
      <c r="AI83" s="15"/>
      <c r="AL83" s="17"/>
    </row>
    <row r="84" spans="1:46" x14ac:dyDescent="0.15">
      <c r="P84" s="17"/>
      <c r="Q84" s="17"/>
      <c r="R84" s="17"/>
      <c r="S84" s="17"/>
      <c r="T84" s="17"/>
      <c r="U84" s="17"/>
      <c r="V84" s="17"/>
      <c r="W84" s="17"/>
      <c r="X84" s="17"/>
      <c r="Y84" s="52"/>
      <c r="Z84" s="15"/>
      <c r="AA84" s="15"/>
      <c r="AB84" s="15"/>
      <c r="AC84" s="15"/>
      <c r="AD84" s="288"/>
      <c r="AE84" s="15"/>
      <c r="AF84" s="15"/>
      <c r="AG84" s="15"/>
      <c r="AH84" s="15"/>
      <c r="AI84" s="15"/>
      <c r="AL84" s="17"/>
    </row>
    <row r="85" spans="1:46" x14ac:dyDescent="0.15">
      <c r="P85" s="17"/>
      <c r="Q85" s="17"/>
      <c r="R85" s="17"/>
      <c r="S85" s="17"/>
      <c r="T85" s="17"/>
      <c r="U85" s="17"/>
      <c r="V85" s="17"/>
      <c r="W85" s="17"/>
      <c r="X85" s="17"/>
      <c r="Y85" s="52"/>
      <c r="Z85" s="15"/>
      <c r="AA85" s="15"/>
      <c r="AB85" s="15"/>
      <c r="AC85" s="15"/>
      <c r="AD85" s="288"/>
      <c r="AE85" s="15"/>
      <c r="AF85" s="15"/>
      <c r="AG85" s="15"/>
      <c r="AH85" s="15"/>
      <c r="AI85" s="15"/>
      <c r="AL85" s="17"/>
    </row>
    <row r="86" spans="1:46" x14ac:dyDescent="0.15">
      <c r="O86" s="15"/>
      <c r="P86" s="15"/>
      <c r="Q86" s="15"/>
      <c r="R86" s="15"/>
      <c r="S86" s="15"/>
      <c r="T86" s="15"/>
      <c r="U86" s="15"/>
      <c r="V86" s="15"/>
      <c r="W86" s="15"/>
      <c r="X86" s="15"/>
      <c r="Y86" s="15"/>
      <c r="Z86" s="15"/>
      <c r="AA86" s="15"/>
      <c r="AB86" s="15"/>
      <c r="AC86" s="15"/>
      <c r="AD86" s="288"/>
      <c r="AE86" s="15"/>
      <c r="AF86" s="15"/>
      <c r="AG86" s="15"/>
      <c r="AH86" s="15"/>
      <c r="AI86" s="15"/>
      <c r="AL86" s="15"/>
    </row>
    <row r="87" spans="1:46" s="319" customFormat="1" x14ac:dyDescent="0.15">
      <c r="A87" s="317" t="s">
        <v>114</v>
      </c>
      <c r="B87" s="323">
        <f>B7+B8</f>
        <v>1119450</v>
      </c>
      <c r="C87" s="323">
        <f>C7+C8</f>
        <v>1184451</v>
      </c>
      <c r="D87" s="323">
        <f>D7+D8</f>
        <v>1232980</v>
      </c>
      <c r="E87" s="323">
        <f>E7+E8</f>
        <v>1114205</v>
      </c>
      <c r="F87" s="323">
        <f>F7+F8</f>
        <v>1073179</v>
      </c>
      <c r="G87" s="323"/>
      <c r="H87" s="323">
        <f>H7+H8</f>
        <v>9174.1</v>
      </c>
      <c r="I87" s="323">
        <f>I7+I8</f>
        <v>9144.0999999999985</v>
      </c>
      <c r="J87" s="323">
        <f>J7+J8</f>
        <v>8622.9</v>
      </c>
      <c r="K87" s="323">
        <f>K7+K8</f>
        <v>8320.6</v>
      </c>
      <c r="L87" s="323">
        <f>L7+L8</f>
        <v>7633.6</v>
      </c>
      <c r="M87" s="318"/>
      <c r="N87" s="328">
        <f t="shared" ref="N87:R89" si="42">IF(ISERROR(B87/B$6),"",B87/B$6)</f>
        <v>1.1527672799243742</v>
      </c>
      <c r="O87" s="328">
        <f t="shared" si="42"/>
        <v>1.0173039000123678</v>
      </c>
      <c r="P87" s="328">
        <f t="shared" si="42"/>
        <v>0.91703897962325676</v>
      </c>
      <c r="Q87" s="328">
        <f t="shared" si="42"/>
        <v>0.89980561637054191</v>
      </c>
      <c r="R87" s="328">
        <f t="shared" si="42"/>
        <v>0.912955338153977</v>
      </c>
      <c r="S87" s="328"/>
      <c r="T87" s="328">
        <f t="shared" ref="T87:X89" si="43">IF(ISERROR(H87/H$6),"",H87/H$6)</f>
        <v>0.85099810767689521</v>
      </c>
      <c r="U87" s="328">
        <f t="shared" si="43"/>
        <v>0.83364634235285529</v>
      </c>
      <c r="V87" s="328">
        <f t="shared" si="43"/>
        <v>0.84690179439582769</v>
      </c>
      <c r="W87" s="328">
        <f t="shared" si="43"/>
        <v>0.85659281831658707</v>
      </c>
      <c r="X87" s="328">
        <f t="shared" si="43"/>
        <v>0.8664699205448354</v>
      </c>
      <c r="Y87" s="328">
        <f>IF(ISERROR((B87-C87)/C87),"",IF(B$3=C$3,(B87-C87)/C87,B87*('Data From SEC'!B$14/'Data From SEC'!C$14)/C87-1))</f>
        <v>-5.4878589321128525E-2</v>
      </c>
      <c r="Z87" s="328">
        <f>IF(ISERROR((C87-D87)/D87),"",IF(C$3=D$3,(C87-D87)/D87,C87*('Data From SEC'!C$14/'Data From SEC'!D$14)/D87-1))</f>
        <v>-3.9359113692030691E-2</v>
      </c>
      <c r="AA87" s="328">
        <f>IF(ISERROR((D87-E87)/E87),"",IF(D$3=E$3,(D87-E87)/E87,D87*('Data From SEC'!D$14/'Data From SEC'!E$14)/E87-1))</f>
        <v>0.10660067043317881</v>
      </c>
      <c r="AB87" s="328">
        <f>IF(ISERROR((E87-F87)/F87),"",IF(E$3=F$3,(E87-F87)/F87,E87*('Data From SEC'!E$14/'Data From SEC'!F$14)/F87-1))</f>
        <v>3.822847819422482E-2</v>
      </c>
      <c r="AC87" s="328" t="str">
        <f>IF(ISERROR((F87-G87)/G87),"",IF(F$3=G$4,(F87-G87)/G87,F87*('Data From SEC'!F$14/'Data From SEC'!G$14)/G87-1))</f>
        <v/>
      </c>
      <c r="AD87" s="328"/>
      <c r="AE87" s="328">
        <f>IF(ISERROR((H87-I87)/I87),"",IF(H$3=I$3,(H87-I87)/I87,H87*('Data From SEC'!H$14/'Data From SEC'!I$14)/I87-1))</f>
        <v>3.2808040157043146E-3</v>
      </c>
      <c r="AF87" s="328">
        <f>IF(ISERROR((I87-J87)/J87),"",IF(I$3=J$3,(I87-J87)/J87,I87*('Data From SEC'!I$14/'Data From SEC'!J$14)/J87-1))</f>
        <v>6.0443702234746884E-2</v>
      </c>
      <c r="AG87" s="328">
        <f>IF(ISERROR((J87-K87)/K87),"",IF(J$3=K$3,(J87-K87)/K87,J87*('Data From SEC'!J$14/'Data From SEC'!K$14)/K87-1))</f>
        <v>3.6331514554238789E-2</v>
      </c>
      <c r="AH87" s="328">
        <f>IF(ISERROR((K87-L87)/L87),"",IF(K$3=L$3,(K87-L87)/L87,K87*('Data From SEC'!K$14/'Data From SEC'!L$14)/L87-1))</f>
        <v>8.9996856005030393E-2</v>
      </c>
      <c r="AI87" s="328" t="str">
        <f>IF(ISERROR((L87-M87)/M87),"",IF(L$3=M$4,(L87-M87)/M87,L87*('Data From SEC'!L$14/'Data From SEC'!M$14)/M87-1))</f>
        <v/>
      </c>
      <c r="AJ87" s="329"/>
      <c r="AK87" s="329"/>
      <c r="AL87" s="330"/>
      <c r="AM87" s="329"/>
      <c r="AN87" s="329"/>
      <c r="AO87" s="329"/>
      <c r="AP87" s="329"/>
      <c r="AQ87" s="329"/>
      <c r="AR87" s="329"/>
      <c r="AS87" s="329"/>
      <c r="AT87" s="329"/>
    </row>
    <row r="88" spans="1:46" x14ac:dyDescent="0.15">
      <c r="A88" s="320" t="s">
        <v>115</v>
      </c>
      <c r="B88" s="324">
        <f>SUM(B12,B13,B15,B17)</f>
        <v>57201</v>
      </c>
      <c r="C88" s="324">
        <f>SUM(C12,C13,C15,C17)</f>
        <v>81189</v>
      </c>
      <c r="D88" s="324">
        <f>SUM(D12,D13,D15,D17)</f>
        <v>31249</v>
      </c>
      <c r="E88" s="324">
        <f>SUM(E12,E13,E15,E17)</f>
        <v>37852</v>
      </c>
      <c r="F88" s="324">
        <f>SUM(F12,F13,F15,F17)</f>
        <v>36586</v>
      </c>
      <c r="G88" s="324"/>
      <c r="H88" s="324">
        <f>SUM(H12,H13,H15,H17)</f>
        <v>517.4</v>
      </c>
      <c r="I88" s="324">
        <f>SUM(I12,I13,I15,I17)</f>
        <v>623.5</v>
      </c>
      <c r="J88" s="324">
        <f>SUM(J12,J13,J15,J17)</f>
        <v>506.2</v>
      </c>
      <c r="K88" s="324">
        <f>SUM(K12,K13,K15,K17)</f>
        <v>454.80000000000007</v>
      </c>
      <c r="L88" s="324">
        <f>SUM(L12,L13,L15,L17)</f>
        <v>388.59999999999997</v>
      </c>
      <c r="M88" s="316"/>
      <c r="N88" s="328">
        <f t="shared" si="42"/>
        <v>5.8903426842604967E-2</v>
      </c>
      <c r="O88" s="328">
        <f t="shared" si="42"/>
        <v>6.9731788261484975E-2</v>
      </c>
      <c r="P88" s="328">
        <f t="shared" si="42"/>
        <v>2.324169984448016E-2</v>
      </c>
      <c r="Q88" s="328">
        <f t="shared" si="42"/>
        <v>3.0568380316779904E-2</v>
      </c>
      <c r="R88" s="328">
        <f t="shared" si="42"/>
        <v>3.1123777116120799E-2</v>
      </c>
      <c r="S88" s="328"/>
      <c r="T88" s="328">
        <f t="shared" si="43"/>
        <v>4.7994508552558345E-2</v>
      </c>
      <c r="U88" s="328">
        <f t="shared" si="43"/>
        <v>5.6843045729706082E-2</v>
      </c>
      <c r="V88" s="328">
        <f t="shared" si="43"/>
        <v>4.9716648496812905E-2</v>
      </c>
      <c r="W88" s="328">
        <f t="shared" si="43"/>
        <v>4.6820952067204748E-2</v>
      </c>
      <c r="X88" s="328">
        <f t="shared" si="43"/>
        <v>4.4108967082860384E-2</v>
      </c>
      <c r="Y88" s="328">
        <f>IF(ISERROR((B88-C88)/C88),"",IF(B$3=C$3,(B88-C88)/C88,B88*('Data From SEC'!B$14/'Data From SEC'!C$14)/C88-1))</f>
        <v>-0.29545874441118869</v>
      </c>
      <c r="Z88" s="328">
        <f>IF(ISERROR((C88-D88)/D88),"",IF(C$3=D$3,(C88-D88)/D88,C88*('Data From SEC'!C$14/'Data From SEC'!D$14)/D88-1))</f>
        <v>1.5981311401964864</v>
      </c>
      <c r="AA88" s="328">
        <f>IF(ISERROR((D88-E88)/E88),"",IF(D$3=E$3,(D88-E88)/E88,D88*('Data From SEC'!D$14/'Data From SEC'!E$14)/E88-1))</f>
        <v>-0.1744425657825214</v>
      </c>
      <c r="AB88" s="328">
        <f>IF(ISERROR((E88-F88)/F88),"",IF(E$3=F$3,(E88-F88)/F88,E88*('Data From SEC'!E$14/'Data From SEC'!F$14)/F88-1))</f>
        <v>3.4603400207729736E-2</v>
      </c>
      <c r="AC88" s="328" t="str">
        <f>IF(ISERROR((F88-G88)/G88),"",IF(F$3=G$4,(F88-G88)/G88,F88*('Data From SEC'!F$14/'Data From SEC'!G$14)/G88-1))</f>
        <v/>
      </c>
      <c r="AD88" s="328"/>
      <c r="AE88" s="328">
        <f>IF(ISERROR((H88-I88)/I88),"",IF(H$3=I$3,(H88-I88)/I88,H88*('Data From SEC'!H$14/'Data From SEC'!I$14)/I88-1))</f>
        <v>-0.17016840417000806</v>
      </c>
      <c r="AF88" s="328">
        <f>IF(ISERROR((I88-J88)/J88),"",IF(I$3=J$3,(I88-J88)/J88,I88*('Data From SEC'!I$14/'Data From SEC'!J$14)/J88-1))</f>
        <v>0.23172659028052156</v>
      </c>
      <c r="AG88" s="328">
        <f>IF(ISERROR((J88-K88)/K88),"",IF(J$3=K$3,(J88-K88)/K88,J88*('Data From SEC'!J$14/'Data From SEC'!K$14)/K88-1))</f>
        <v>0.11301671064204026</v>
      </c>
      <c r="AH88" s="328">
        <f>IF(ISERROR((K88-L88)/L88),"",IF(K$3=L$3,(K88-L88)/L88,K88*('Data From SEC'!K$14/'Data From SEC'!L$14)/L88-1))</f>
        <v>0.17035512094698946</v>
      </c>
      <c r="AI88" s="328" t="str">
        <f>IF(ISERROR((L88-M88)/M88),"",IF(L$3=M$4,(L88-M88)/M88,L88*('Data From SEC'!L$14/'Data From SEC'!M$14)/M88-1))</f>
        <v/>
      </c>
      <c r="AJ88" s="329"/>
      <c r="AK88" s="329"/>
      <c r="AL88" s="330"/>
      <c r="AM88" s="329"/>
      <c r="AN88" s="329"/>
      <c r="AO88" s="329"/>
      <c r="AP88" s="329"/>
      <c r="AQ88" s="329"/>
      <c r="AR88" s="329"/>
      <c r="AS88" s="329"/>
      <c r="AT88" s="329"/>
    </row>
    <row r="89" spans="1:46" x14ac:dyDescent="0.15">
      <c r="A89" s="321"/>
      <c r="B89" s="325"/>
      <c r="C89" s="325"/>
      <c r="D89" s="325"/>
      <c r="E89" s="325"/>
      <c r="F89" s="325"/>
      <c r="G89" s="325"/>
      <c r="H89" s="325"/>
      <c r="I89" s="325"/>
      <c r="J89" s="325"/>
      <c r="K89" s="325"/>
      <c r="L89" s="325"/>
      <c r="M89" s="316"/>
      <c r="N89" s="328">
        <f t="shared" si="42"/>
        <v>0</v>
      </c>
      <c r="O89" s="328">
        <f t="shared" si="42"/>
        <v>0</v>
      </c>
      <c r="P89" s="328">
        <f t="shared" si="42"/>
        <v>0</v>
      </c>
      <c r="Q89" s="328">
        <f t="shared" si="42"/>
        <v>0</v>
      </c>
      <c r="R89" s="328">
        <f t="shared" si="42"/>
        <v>0</v>
      </c>
      <c r="S89" s="328"/>
      <c r="T89" s="328">
        <f t="shared" si="43"/>
        <v>0</v>
      </c>
      <c r="U89" s="328">
        <f t="shared" si="43"/>
        <v>0</v>
      </c>
      <c r="V89" s="328">
        <f t="shared" si="43"/>
        <v>0</v>
      </c>
      <c r="W89" s="328">
        <f t="shared" si="43"/>
        <v>0</v>
      </c>
      <c r="X89" s="328">
        <f t="shared" si="43"/>
        <v>0</v>
      </c>
      <c r="Y89" s="328" t="str">
        <f>IF(ISERROR((B89-C89)/C89),"",IF(B$3=C$3,(B89-C89)/C89,B89*('Data From SEC'!B$14/'Data From SEC'!C$14)/C89-1))</f>
        <v/>
      </c>
      <c r="Z89" s="328" t="str">
        <f>IF(ISERROR((C89-D89)/D89),"",IF(C$3=D$3,(C89-D89)/D89,C89*('Data From SEC'!C$14/'Data From SEC'!D$14)/D89-1))</f>
        <v/>
      </c>
      <c r="AA89" s="328" t="str">
        <f>IF(ISERROR((D89-E89)/E89),"",IF(D$3=E$3,(D89-E89)/E89,D89*('Data From SEC'!D$14/'Data From SEC'!E$14)/E89-1))</f>
        <v/>
      </c>
      <c r="AB89" s="328" t="str">
        <f>IF(ISERROR((E89-F89)/F89),"",IF(E$3=F$3,(E89-F89)/F89,E89*('Data From SEC'!E$14/'Data From SEC'!F$14)/F89-1))</f>
        <v/>
      </c>
      <c r="AC89" s="328" t="str">
        <f>IF(ISERROR((F89-G89)/G89),"",IF(F$3=G$4,(F89-G89)/G89,F89*('Data From SEC'!F$14/'Data From SEC'!G$14)/G89-1))</f>
        <v/>
      </c>
      <c r="AD89" s="328"/>
      <c r="AE89" s="328" t="str">
        <f>IF(ISERROR((H89-I89)/I89),"",IF(H$3=I$3,(H89-I89)/I89,H89*('Data From SEC'!H$14/'Data From SEC'!I$14)/I89-1))</f>
        <v/>
      </c>
      <c r="AF89" s="328" t="str">
        <f>IF(ISERROR((I89-J89)/J89),"",IF(I$3=J$3,(I89-J89)/J89,I89*('Data From SEC'!I$14/'Data From SEC'!J$14)/J89-1))</f>
        <v/>
      </c>
      <c r="AG89" s="328" t="str">
        <f>IF(ISERROR((J89-K89)/K89),"",IF(J$3=K$3,(J89-K89)/K89,J89*('Data From SEC'!J$14/'Data From SEC'!K$14)/K89-1))</f>
        <v/>
      </c>
      <c r="AH89" s="328" t="str">
        <f>IF(ISERROR((K89-L89)/L89),"",IF(K$3=L$3,(K89-L89)/L89,K89*('Data From SEC'!K$14/'Data From SEC'!L$14)/L89-1))</f>
        <v/>
      </c>
      <c r="AI89" s="328" t="str">
        <f>IF(ISERROR((L89-M89)/M89),"",IF(L$3=M$4,(L89-M89)/M89,L89*('Data From SEC'!L$14/'Data From SEC'!M$14)/M89-1))</f>
        <v/>
      </c>
      <c r="AJ89" s="331"/>
      <c r="AK89" s="331"/>
      <c r="AL89" s="332"/>
      <c r="AM89" s="331"/>
      <c r="AN89" s="331"/>
      <c r="AO89" s="331"/>
      <c r="AP89" s="331"/>
      <c r="AQ89" s="331"/>
      <c r="AR89" s="331"/>
      <c r="AS89" s="331"/>
      <c r="AT89" s="331"/>
    </row>
    <row r="90" spans="1:46" x14ac:dyDescent="0.15">
      <c r="B90" s="326"/>
      <c r="C90" s="326"/>
      <c r="D90" s="326"/>
      <c r="E90" s="326"/>
      <c r="F90" s="326"/>
      <c r="G90" s="326"/>
      <c r="H90" s="326"/>
      <c r="I90" s="326"/>
      <c r="J90" s="326"/>
      <c r="K90" s="326"/>
      <c r="L90" s="326"/>
      <c r="N90" s="332"/>
      <c r="O90" s="332"/>
      <c r="P90" s="332"/>
      <c r="Q90" s="332"/>
      <c r="R90" s="332"/>
      <c r="S90" s="332"/>
      <c r="T90" s="332"/>
      <c r="U90" s="332"/>
      <c r="V90" s="332"/>
      <c r="W90" s="332"/>
      <c r="X90" s="332"/>
      <c r="Y90" s="332"/>
      <c r="Z90" s="331"/>
      <c r="AA90" s="331"/>
      <c r="AB90" s="331"/>
      <c r="AC90" s="331"/>
      <c r="AD90" s="333"/>
      <c r="AE90" s="331"/>
      <c r="AF90" s="331"/>
      <c r="AG90" s="331"/>
      <c r="AH90" s="331"/>
      <c r="AI90" s="331"/>
      <c r="AJ90" s="331"/>
      <c r="AK90" s="331"/>
      <c r="AL90" s="332"/>
      <c r="AM90" s="331"/>
      <c r="AN90" s="331"/>
      <c r="AO90" s="331"/>
      <c r="AP90" s="331"/>
      <c r="AQ90" s="331"/>
      <c r="AR90" s="331"/>
      <c r="AS90" s="331"/>
      <c r="AT90" s="331"/>
    </row>
    <row r="91" spans="1:46" x14ac:dyDescent="0.15">
      <c r="A91" s="322" t="s">
        <v>119</v>
      </c>
      <c r="B91" s="327">
        <f>EBIT*(1-Taxes/EBT)</f>
        <v>-194563.2397598064</v>
      </c>
      <c r="C91" s="327">
        <f>EBIT*(1-Taxes/EBT)</f>
        <v>-105129.06294542074</v>
      </c>
      <c r="D91" s="327">
        <f>EBIT*(1-Taxes/EBT)</f>
        <v>61479.581960504504</v>
      </c>
      <c r="E91" s="327">
        <f>EBIT*(1-Taxes/EBT)</f>
        <v>74414.592841984981</v>
      </c>
      <c r="F91" s="327"/>
      <c r="G91" s="327"/>
      <c r="H91" s="327">
        <f>EBIT*(1-Taxes/EBT)</f>
        <v>1125.4186979366903</v>
      </c>
      <c r="I91" s="327">
        <f>EBIT*(1-Taxes/EBT)</f>
        <v>1243.6690454750114</v>
      </c>
      <c r="J91" s="327">
        <f>EBIT*(1-Taxes/EBT)</f>
        <v>1059.0555856832989</v>
      </c>
      <c r="K91" s="327">
        <f>EBIT*(1-Taxes/EBT)</f>
        <v>895.02644516691851</v>
      </c>
      <c r="L91" s="327"/>
      <c r="N91" s="334">
        <f t="shared" ref="N91" si="44">IF(ISERROR(B91/B$6),"",B91/B$6)</f>
        <v>-0.20035386723050239</v>
      </c>
      <c r="O91" s="334">
        <f t="shared" ref="O91" si="45">IF(ISERROR(C91/C$6),"",C91/C$6)</f>
        <v>-9.0293482583088905E-2</v>
      </c>
      <c r="P91" s="334">
        <f t="shared" ref="P91" si="46">IF(ISERROR(D91/D$6),"",D91/D$6)</f>
        <v>4.572594292585884E-2</v>
      </c>
      <c r="Q91" s="334">
        <f t="shared" ref="Q91" si="47">IF(ISERROR(E91/E$6),"",E91/E$6)</f>
        <v>6.0095465896442046E-2</v>
      </c>
      <c r="R91" s="334">
        <f t="shared" ref="R91" si="48">IF(ISERROR(F91/F$6),"",F91/F$6)</f>
        <v>0</v>
      </c>
      <c r="S91" s="334"/>
      <c r="T91" s="334">
        <f t="shared" ref="T91" si="49">IF(ISERROR(H91/H$6),"",H91/H$6)</f>
        <v>0.10439489239144098</v>
      </c>
      <c r="U91" s="334">
        <f t="shared" ref="U91" si="50">IF(ISERROR(I91/I$6),"",I91/I$6)</f>
        <v>0.11338241607787648</v>
      </c>
      <c r="V91" s="334">
        <f t="shared" ref="V91" si="51">IF(ISERROR(J91/J$6),"",J91/J$6)</f>
        <v>0.10401559520348261</v>
      </c>
      <c r="W91" s="334">
        <f t="shared" ref="W91" si="52">IF(ISERROR(K91/K$6),"",K91/K$6)</f>
        <v>9.2141579349254502E-2</v>
      </c>
      <c r="X91" s="334">
        <f t="shared" ref="X91" si="53">IF(ISERROR(L91/L$6),"",L91/L$6)</f>
        <v>0</v>
      </c>
      <c r="Y91" s="332"/>
      <c r="Z91" s="331"/>
      <c r="AA91" s="331"/>
      <c r="AB91" s="331"/>
      <c r="AC91" s="331"/>
      <c r="AD91" s="333"/>
      <c r="AE91" s="331"/>
      <c r="AF91" s="331"/>
      <c r="AG91" s="331"/>
      <c r="AH91" s="331"/>
      <c r="AI91" s="331"/>
      <c r="AJ91" s="331"/>
      <c r="AK91" s="331"/>
      <c r="AL91" s="332"/>
      <c r="AM91" s="331"/>
      <c r="AN91" s="331"/>
      <c r="AO91" s="331"/>
      <c r="AP91" s="331"/>
      <c r="AQ91" s="331"/>
      <c r="AR91" s="331"/>
      <c r="AS91" s="331"/>
      <c r="AT91" s="331"/>
    </row>
    <row r="92" spans="1:46" x14ac:dyDescent="0.15">
      <c r="A92" s="322" t="s">
        <v>116</v>
      </c>
      <c r="B92" s="327">
        <f>(Cash+AccountsReceivable+Inventories+OtherCurrentAssets+NPPE+Intangibles.OtherAssets)-(AccountsPayable+Accruals+OtherLiab.related.to.Sales)</f>
        <v>547907</v>
      </c>
      <c r="C92" s="327">
        <f>(Cash+AccountsReceivable+Inventories+OtherCurrentAssets+NPPE+Intangibles.OtherAssets)-(AccountsPayable+Accruals+OtherLiab.related.to.Sales)</f>
        <v>808179</v>
      </c>
      <c r="D92" s="327">
        <f>(Cash+AccountsReceivable+Inventories+OtherCurrentAssets+NPPE+Intangibles.OtherAssets)-(AccountsPayable+Accruals+OtherLiab.related.to.Sales)</f>
        <v>851840</v>
      </c>
      <c r="E92" s="327">
        <f>(Cash+AccountsReceivable+Inventories+OtherCurrentAssets+NPPE+Intangibles.OtherAssets)-(AccountsPayable+Accruals+OtherLiab.related.to.Sales)</f>
        <v>819061</v>
      </c>
      <c r="F92" s="327">
        <f>(Cash+AccountsReceivable+Inventories+OtherCurrentAssets+NPPE+Intangibles.OtherAssets)-(AccountsPayable+Accruals+OtherLiab.related.to.Sales)</f>
        <v>665244</v>
      </c>
      <c r="G92" s="327"/>
      <c r="H92" s="327">
        <f>(Cash+AccountsReceivable+Inventories+OtherCurrentAssets+NPPE+Intangibles.OtherAssets)-(AccountsPayable+Accruals+OtherLiab.related.to.Sales)</f>
        <v>5209.3999999999996</v>
      </c>
      <c r="I92" s="327">
        <f>(Cash+AccountsReceivable+Inventories+OtherCurrentAssets+NPPE+Intangibles.OtherAssets)-(AccountsPayable+Accruals+OtherLiab.related.to.Sales)</f>
        <v>5816.8999999999987</v>
      </c>
      <c r="J92" s="327">
        <f>(Cash+AccountsReceivable+Inventories+OtherCurrentAssets+NPPE+Intangibles.OtherAssets)-(AccountsPayable+Accruals+OtherLiab.related.to.Sales)</f>
        <v>5229.6000000000004</v>
      </c>
      <c r="K92" s="327">
        <f>(Cash+AccountsReceivable+Inventories+OtherCurrentAssets+NPPE+Intangibles.OtherAssets)-(AccountsPayable+Accruals+OtherLiab.related.to.Sales)</f>
        <v>4677.1000000000004</v>
      </c>
      <c r="L92" s="327">
        <f>(Cash+AccountsReceivable+Inventories+OtherCurrentAssets+NPPE+Intangibles.OtherAssets)-(AccountsPayable+Accruals+OtherLiab.related.to.Sales)</f>
        <v>4530.9000000000005</v>
      </c>
      <c r="N92" s="334"/>
      <c r="O92" s="334"/>
      <c r="P92" s="334"/>
      <c r="Q92" s="334"/>
      <c r="R92" s="334"/>
      <c r="S92" s="334"/>
      <c r="T92" s="334"/>
      <c r="U92" s="334"/>
      <c r="V92" s="334"/>
      <c r="W92" s="334"/>
      <c r="X92" s="334"/>
      <c r="Y92" s="332"/>
      <c r="Z92" s="331"/>
      <c r="AA92" s="331"/>
      <c r="AB92" s="331"/>
      <c r="AC92" s="331"/>
      <c r="AD92" s="333"/>
      <c r="AE92" s="331"/>
      <c r="AF92" s="331"/>
      <c r="AG92" s="331"/>
      <c r="AH92" s="331"/>
      <c r="AI92" s="331"/>
      <c r="AJ92" s="331"/>
      <c r="AK92" s="331"/>
      <c r="AL92" s="332"/>
      <c r="AM92" s="331"/>
      <c r="AN92" s="331"/>
      <c r="AO92" s="331"/>
      <c r="AP92" s="331"/>
      <c r="AQ92" s="331"/>
      <c r="AR92" s="331"/>
      <c r="AS92" s="331"/>
      <c r="AT92" s="331"/>
    </row>
    <row r="93" spans="1:46" x14ac:dyDescent="0.15">
      <c r="A93" s="322" t="s">
        <v>117</v>
      </c>
      <c r="B93" s="327">
        <f>ThisYearFigure-LastYearFigure</f>
        <v>-260272</v>
      </c>
      <c r="C93" s="327">
        <f>ThisYearFigure-LastYearFigure</f>
        <v>-43661</v>
      </c>
      <c r="D93" s="327">
        <f>ThisYearFigure-LastYearFigure</f>
        <v>32779</v>
      </c>
      <c r="E93" s="327">
        <f>ThisYearFigure-LastYearFigure</f>
        <v>153817</v>
      </c>
      <c r="F93" s="327"/>
      <c r="G93" s="327"/>
      <c r="H93" s="327">
        <f>ThisYearFigure-LastYearFigure</f>
        <v>-607.49999999999909</v>
      </c>
      <c r="I93" s="327">
        <f>ThisYearFigure-LastYearFigure</f>
        <v>587.29999999999836</v>
      </c>
      <c r="J93" s="327">
        <f>ThisYearFigure-LastYearFigure</f>
        <v>552.5</v>
      </c>
      <c r="K93" s="327">
        <f>ThisYearFigure-LastYearFigure</f>
        <v>146.19999999999982</v>
      </c>
      <c r="L93" s="327"/>
      <c r="N93" s="334"/>
      <c r="O93" s="334"/>
      <c r="P93" s="334"/>
      <c r="Q93" s="334"/>
      <c r="R93" s="334"/>
      <c r="S93" s="334"/>
      <c r="T93" s="334"/>
      <c r="U93" s="334"/>
      <c r="V93" s="334"/>
      <c r="W93" s="334"/>
      <c r="X93" s="334"/>
      <c r="Y93" s="332"/>
      <c r="Z93" s="331"/>
      <c r="AA93" s="331"/>
      <c r="AB93" s="331"/>
      <c r="AC93" s="331"/>
      <c r="AD93" s="333"/>
      <c r="AE93" s="331"/>
      <c r="AF93" s="331"/>
      <c r="AG93" s="331"/>
      <c r="AH93" s="331"/>
      <c r="AI93" s="331"/>
      <c r="AJ93" s="331"/>
      <c r="AK93" s="331"/>
      <c r="AL93" s="332"/>
      <c r="AM93" s="331"/>
      <c r="AN93" s="331"/>
      <c r="AO93" s="331"/>
      <c r="AP93" s="331"/>
      <c r="AQ93" s="331"/>
      <c r="AR93" s="331"/>
      <c r="AS93" s="331"/>
      <c r="AT93" s="331"/>
    </row>
    <row r="94" spans="1:46" x14ac:dyDescent="0.15">
      <c r="A94" s="322" t="s">
        <v>118</v>
      </c>
      <c r="B94" s="327">
        <f>NOPAT-Investment.in.Op.Capital</f>
        <v>65708.760240193602</v>
      </c>
      <c r="C94" s="327">
        <f>NOPAT-Investment.in.Op.Capital</f>
        <v>-61468.062945420737</v>
      </c>
      <c r="D94" s="327">
        <f>NOPAT-Investment.in.Op.Capital</f>
        <v>28700.581960504504</v>
      </c>
      <c r="E94" s="327">
        <f>NOPAT-Investment.in.Op.Capital</f>
        <v>-79402.407158015019</v>
      </c>
      <c r="F94" s="327"/>
      <c r="G94" s="327"/>
      <c r="H94" s="327">
        <f>NOPAT-Investment.in.Op.Capital</f>
        <v>1732.9186979366893</v>
      </c>
      <c r="I94" s="327">
        <f>NOPAT-Investment.in.Op.Capital</f>
        <v>656.36904547501308</v>
      </c>
      <c r="J94" s="327">
        <f>NOPAT-Investment.in.Op.Capital</f>
        <v>506.55558568329889</v>
      </c>
      <c r="K94" s="327">
        <f>NOPAT-Investment.in.Op.Capital</f>
        <v>748.82644516691869</v>
      </c>
      <c r="L94" s="327"/>
      <c r="N94" s="334">
        <f t="shared" ref="N94" si="54">IF(ISERROR(B94/B$6),"",B94/B$6)</f>
        <v>6.7664396631641296E-2</v>
      </c>
      <c r="O94" s="334">
        <f t="shared" ref="O94" si="55">IF(ISERROR(C94/C$6),"",C94/C$6)</f>
        <v>-5.2793826135975427E-2</v>
      </c>
      <c r="P94" s="334">
        <f t="shared" ref="P94" si="56">IF(ISERROR(D94/D$6),"",D94/D$6)</f>
        <v>2.1346293042591686E-2</v>
      </c>
      <c r="Q94" s="334">
        <f t="shared" ref="Q94" si="57">IF(ISERROR(E94/E$6),"",E94/E$6)</f>
        <v>-6.4123506817975531E-2</v>
      </c>
      <c r="R94" s="334">
        <f t="shared" ref="R94" si="58">IF(ISERROR(F94/F$6),"",F94/F$6)</f>
        <v>0</v>
      </c>
      <c r="S94" s="334"/>
      <c r="T94" s="334">
        <f t="shared" ref="T94" si="59">IF(ISERROR(H94/H$6),"",H94/H$6)</f>
        <v>0.16074716132394803</v>
      </c>
      <c r="U94" s="334">
        <f t="shared" ref="U94" si="60">IF(ISERROR(I94/I$6),"",I94/I$6)</f>
        <v>5.9839640204490292E-2</v>
      </c>
      <c r="V94" s="334">
        <f t="shared" ref="V94" si="61">IF(ISERROR(J94/J$6),"",J94/J$6)</f>
        <v>4.9751572496076181E-2</v>
      </c>
      <c r="W94" s="334">
        <f t="shared" ref="W94" si="62">IF(ISERROR(K94/K$6),"",K94/K$6)</f>
        <v>7.7090516921318422E-2</v>
      </c>
      <c r="X94" s="334">
        <f t="shared" ref="X94" si="63">IF(ISERROR(L94/L$6),"",L94/L$6)</f>
        <v>0</v>
      </c>
      <c r="Y94" s="332"/>
      <c r="Z94" s="331"/>
      <c r="AA94" s="331"/>
      <c r="AB94" s="331"/>
      <c r="AC94" s="331"/>
      <c r="AD94" s="333"/>
      <c r="AE94" s="331"/>
      <c r="AF94" s="331"/>
      <c r="AG94" s="331"/>
      <c r="AH94" s="331"/>
      <c r="AI94" s="331"/>
      <c r="AJ94" s="331"/>
      <c r="AK94" s="331"/>
      <c r="AL94" s="332"/>
      <c r="AM94" s="331"/>
      <c r="AN94" s="331"/>
      <c r="AO94" s="331"/>
      <c r="AP94" s="331"/>
      <c r="AQ94" s="331"/>
      <c r="AR94" s="331"/>
      <c r="AS94" s="331"/>
      <c r="AT94" s="331"/>
    </row>
    <row r="95" spans="1:46" x14ac:dyDescent="0.15">
      <c r="N95" s="15"/>
      <c r="O95" s="15"/>
      <c r="P95" s="15"/>
      <c r="Q95" s="15"/>
      <c r="R95" s="15"/>
      <c r="S95" s="15"/>
      <c r="T95" s="15"/>
      <c r="U95" s="15"/>
      <c r="V95" s="15"/>
      <c r="W95" s="15"/>
      <c r="X95" s="15"/>
      <c r="Y95" s="15"/>
      <c r="AL95" s="15"/>
    </row>
    <row r="96" spans="1:46" x14ac:dyDescent="0.15">
      <c r="N96" s="15"/>
      <c r="O96" s="15"/>
      <c r="P96" s="15"/>
      <c r="Q96" s="15"/>
      <c r="R96" s="15"/>
      <c r="S96" s="15"/>
      <c r="T96" s="15"/>
      <c r="U96" s="15"/>
      <c r="V96" s="15"/>
      <c r="W96" s="15"/>
      <c r="X96" s="15"/>
      <c r="Y96" s="15"/>
      <c r="AL96" s="15"/>
    </row>
    <row r="97" spans="1:38" x14ac:dyDescent="0.15">
      <c r="N97" s="15"/>
      <c r="O97" s="15"/>
      <c r="P97" s="15"/>
      <c r="Q97" s="15"/>
      <c r="R97" s="15"/>
      <c r="S97" s="15"/>
      <c r="T97" s="15"/>
      <c r="U97" s="15"/>
      <c r="V97" s="15"/>
      <c r="W97" s="15"/>
      <c r="X97" s="15"/>
      <c r="Y97" s="15"/>
      <c r="AL97" s="15"/>
    </row>
    <row r="98" spans="1:38" x14ac:dyDescent="0.15">
      <c r="N98" s="15"/>
      <c r="O98" s="15"/>
      <c r="P98" s="15"/>
      <c r="Q98" s="15"/>
      <c r="R98" s="15"/>
      <c r="S98" s="15"/>
      <c r="T98" s="15"/>
      <c r="U98" s="15"/>
      <c r="V98" s="15"/>
      <c r="W98" s="15"/>
      <c r="X98" s="15"/>
      <c r="Y98" s="15"/>
      <c r="AL98" s="15"/>
    </row>
    <row r="99" spans="1:38" x14ac:dyDescent="0.15">
      <c r="N99" s="15"/>
      <c r="O99" s="15"/>
      <c r="P99" s="15"/>
      <c r="Q99" s="15"/>
      <c r="R99" s="15"/>
      <c r="S99" s="15"/>
      <c r="T99" s="15"/>
      <c r="U99" s="15"/>
      <c r="V99" s="15"/>
      <c r="W99" s="15"/>
      <c r="X99" s="15"/>
      <c r="Y99" s="15"/>
      <c r="AL99" s="15"/>
    </row>
    <row r="100" spans="1:38" x14ac:dyDescent="0.15">
      <c r="N100" s="15"/>
      <c r="O100" s="15"/>
      <c r="P100" s="15"/>
      <c r="Q100" s="15"/>
      <c r="R100" s="15"/>
      <c r="S100" s="15"/>
      <c r="T100" s="15"/>
      <c r="U100" s="15"/>
      <c r="V100" s="15"/>
      <c r="W100" s="15"/>
      <c r="X100" s="15"/>
      <c r="Y100" s="15"/>
      <c r="AL100" s="15"/>
    </row>
    <row r="101" spans="1:38" x14ac:dyDescent="0.15">
      <c r="N101" s="15"/>
      <c r="O101" s="15"/>
      <c r="P101" s="15"/>
      <c r="Q101" s="15"/>
      <c r="R101" s="15"/>
      <c r="S101" s="15"/>
      <c r="T101" s="15"/>
      <c r="U101" s="15"/>
      <c r="V101" s="15"/>
      <c r="W101" s="15"/>
      <c r="X101" s="15"/>
      <c r="Y101" s="15"/>
      <c r="AL101" s="15"/>
    </row>
    <row r="102" spans="1:38" x14ac:dyDescent="0.15">
      <c r="N102" s="15"/>
      <c r="O102" s="15"/>
      <c r="P102" s="15"/>
      <c r="Q102" s="15"/>
      <c r="R102" s="15"/>
      <c r="S102" s="15"/>
      <c r="T102" s="15"/>
      <c r="U102" s="15"/>
      <c r="V102" s="15"/>
      <c r="W102" s="15"/>
      <c r="X102" s="15"/>
      <c r="Y102" s="15"/>
      <c r="AL102" s="15"/>
    </row>
    <row r="103" spans="1:38" x14ac:dyDescent="0.15">
      <c r="N103" s="15"/>
      <c r="O103" s="15"/>
      <c r="P103" s="15"/>
      <c r="Q103" s="15"/>
      <c r="R103" s="15"/>
      <c r="S103" s="15"/>
      <c r="T103" s="15"/>
      <c r="U103" s="15"/>
      <c r="V103" s="15"/>
      <c r="W103" s="15"/>
      <c r="X103" s="15"/>
      <c r="Y103" s="15"/>
      <c r="AL103" s="15"/>
    </row>
    <row r="104" spans="1:38" x14ac:dyDescent="0.15">
      <c r="N104" s="15"/>
      <c r="O104" s="15"/>
      <c r="P104" s="15"/>
      <c r="Q104" s="15"/>
      <c r="R104" s="15"/>
      <c r="S104" s="15"/>
      <c r="T104" s="15"/>
      <c r="U104" s="15"/>
      <c r="V104" s="15"/>
      <c r="W104" s="15"/>
      <c r="X104" s="15"/>
      <c r="Y104" s="15"/>
      <c r="AL104" s="15"/>
    </row>
    <row r="105" spans="1:38" x14ac:dyDescent="0.15">
      <c r="N105" s="15"/>
      <c r="O105" s="15"/>
      <c r="P105" s="15"/>
      <c r="Q105" s="15"/>
      <c r="R105" s="15"/>
      <c r="S105" s="15"/>
      <c r="T105" s="15"/>
      <c r="U105" s="15"/>
      <c r="V105" s="15"/>
      <c r="W105" s="15"/>
      <c r="X105" s="15"/>
      <c r="Y105" s="15"/>
      <c r="AL105" s="15"/>
    </row>
    <row r="106" spans="1:38" x14ac:dyDescent="0.15">
      <c r="A106" s="53"/>
      <c r="N106" s="15"/>
      <c r="O106" s="15"/>
      <c r="P106" s="15"/>
      <c r="Q106" s="15"/>
      <c r="R106" s="15"/>
      <c r="S106" s="15"/>
      <c r="T106" s="15"/>
      <c r="U106" s="15"/>
      <c r="V106" s="15"/>
      <c r="W106" s="15"/>
      <c r="X106" s="15"/>
      <c r="Y106" s="15"/>
      <c r="AL106" s="15"/>
    </row>
    <row r="107" spans="1:38" x14ac:dyDescent="0.15">
      <c r="N107" s="15"/>
      <c r="O107" s="15"/>
      <c r="P107" s="15"/>
      <c r="Q107" s="15"/>
      <c r="R107" s="15"/>
      <c r="S107" s="15"/>
      <c r="T107" s="15"/>
      <c r="U107" s="15"/>
      <c r="V107" s="15"/>
      <c r="W107" s="15"/>
      <c r="X107" s="15"/>
      <c r="Y107" s="15"/>
      <c r="AL107" s="15"/>
    </row>
    <row r="108" spans="1:38" x14ac:dyDescent="0.15">
      <c r="A108" s="54"/>
      <c r="N108" s="15"/>
      <c r="O108" s="15"/>
      <c r="P108" s="15"/>
      <c r="Q108" s="15"/>
      <c r="R108" s="15"/>
      <c r="S108" s="15"/>
      <c r="T108" s="15"/>
      <c r="U108" s="15"/>
      <c r="V108" s="15"/>
      <c r="W108" s="15"/>
      <c r="X108" s="15"/>
      <c r="Y108" s="15"/>
      <c r="AL108" s="15"/>
    </row>
    <row r="109" spans="1:38" x14ac:dyDescent="0.15">
      <c r="A109" s="54"/>
      <c r="N109" s="15"/>
      <c r="O109" s="15"/>
      <c r="P109" s="15"/>
      <c r="Q109" s="15"/>
      <c r="R109" s="15"/>
      <c r="S109" s="15"/>
      <c r="T109" s="15"/>
      <c r="U109" s="15"/>
      <c r="V109" s="15"/>
      <c r="W109" s="15"/>
      <c r="X109" s="15"/>
      <c r="Y109" s="15"/>
      <c r="AL109" s="15"/>
    </row>
    <row r="110" spans="1:38" x14ac:dyDescent="0.15">
      <c r="A110" s="54"/>
      <c r="N110" s="15"/>
      <c r="O110" s="15"/>
      <c r="P110" s="15"/>
      <c r="Q110" s="15"/>
      <c r="R110" s="15"/>
      <c r="S110" s="15"/>
      <c r="T110" s="15"/>
      <c r="U110" s="15"/>
      <c r="V110" s="15"/>
      <c r="W110" s="15"/>
      <c r="X110" s="15"/>
      <c r="Y110" s="15"/>
      <c r="AL110" s="15"/>
    </row>
    <row r="111" spans="1:38" x14ac:dyDescent="0.15">
      <c r="A111" s="54"/>
      <c r="N111" s="15"/>
      <c r="O111" s="15"/>
      <c r="P111" s="15"/>
      <c r="Q111" s="15"/>
      <c r="R111" s="15"/>
      <c r="S111" s="15"/>
      <c r="T111" s="15"/>
      <c r="U111" s="15"/>
      <c r="V111" s="15"/>
      <c r="W111" s="15"/>
      <c r="X111" s="15"/>
      <c r="Y111" s="15"/>
      <c r="AL111" s="15"/>
    </row>
    <row r="112" spans="1:38" x14ac:dyDescent="0.15">
      <c r="N112" s="15"/>
      <c r="O112" s="15"/>
      <c r="P112" s="15"/>
      <c r="Q112" s="15"/>
      <c r="R112" s="15"/>
      <c r="S112" s="15"/>
      <c r="T112" s="15"/>
      <c r="U112" s="15"/>
      <c r="V112" s="15"/>
      <c r="W112" s="15"/>
      <c r="X112" s="15"/>
      <c r="Y112" s="15"/>
      <c r="AL112" s="15"/>
    </row>
    <row r="113" spans="1:38" x14ac:dyDescent="0.15">
      <c r="A113" s="54"/>
      <c r="N113" s="15"/>
      <c r="O113" s="15"/>
      <c r="P113" s="15"/>
      <c r="Q113" s="15"/>
      <c r="R113" s="15"/>
      <c r="S113" s="15"/>
      <c r="T113" s="15"/>
      <c r="U113" s="15"/>
      <c r="V113" s="15"/>
      <c r="W113" s="15"/>
      <c r="X113" s="15"/>
      <c r="Y113" s="15"/>
      <c r="AL113" s="15"/>
    </row>
    <row r="114" spans="1:38" x14ac:dyDescent="0.15">
      <c r="A114" s="54"/>
      <c r="N114" s="15"/>
      <c r="O114" s="15"/>
      <c r="P114" s="15"/>
      <c r="Q114" s="15"/>
      <c r="R114" s="15"/>
      <c r="S114" s="15"/>
      <c r="T114" s="15"/>
      <c r="U114" s="15"/>
      <c r="V114" s="15"/>
      <c r="W114" s="15"/>
      <c r="X114" s="15"/>
      <c r="Y114" s="15"/>
      <c r="AL114" s="15"/>
    </row>
    <row r="115" spans="1:38" x14ac:dyDescent="0.15">
      <c r="N115" s="15"/>
      <c r="O115" s="15"/>
      <c r="P115" s="15"/>
      <c r="Q115" s="15"/>
      <c r="R115" s="15"/>
      <c r="S115" s="15"/>
      <c r="T115" s="15"/>
      <c r="U115" s="15"/>
      <c r="V115" s="15"/>
      <c r="W115" s="15"/>
      <c r="X115" s="15"/>
      <c r="Y115" s="15"/>
      <c r="AL115" s="15"/>
    </row>
    <row r="116" spans="1:38" x14ac:dyDescent="0.15">
      <c r="N116" s="15"/>
      <c r="O116" s="15"/>
      <c r="P116" s="15"/>
      <c r="Q116" s="15"/>
      <c r="R116" s="15"/>
      <c r="S116" s="15"/>
      <c r="T116" s="15"/>
      <c r="U116" s="15"/>
      <c r="V116" s="15"/>
      <c r="W116" s="15"/>
      <c r="X116" s="15"/>
      <c r="Y116" s="15"/>
      <c r="AL116" s="15"/>
    </row>
    <row r="117" spans="1:38" x14ac:dyDescent="0.15">
      <c r="A117" s="14"/>
      <c r="N117" s="15"/>
      <c r="O117" s="15"/>
      <c r="P117" s="15"/>
      <c r="Q117" s="15"/>
      <c r="R117" s="15"/>
      <c r="S117" s="15"/>
      <c r="T117" s="15"/>
      <c r="U117" s="15"/>
      <c r="V117" s="15"/>
      <c r="W117" s="15"/>
      <c r="X117" s="15"/>
      <c r="Y117" s="15"/>
      <c r="AL117" s="15"/>
    </row>
    <row r="118" spans="1:38" x14ac:dyDescent="0.15">
      <c r="A118" s="14"/>
      <c r="N118" s="15"/>
      <c r="O118" s="15"/>
      <c r="P118" s="15"/>
      <c r="Q118" s="15"/>
      <c r="R118" s="15"/>
      <c r="S118" s="15"/>
      <c r="T118" s="15"/>
      <c r="U118" s="15"/>
      <c r="V118" s="15"/>
      <c r="W118" s="15"/>
      <c r="X118" s="15"/>
      <c r="Y118" s="15"/>
      <c r="AL118" s="15"/>
    </row>
    <row r="119" spans="1:38" x14ac:dyDescent="0.15">
      <c r="A119" s="14"/>
      <c r="N119" s="15"/>
      <c r="O119" s="15"/>
      <c r="P119" s="15"/>
      <c r="Q119" s="15"/>
      <c r="R119" s="15"/>
      <c r="S119" s="15"/>
      <c r="T119" s="15"/>
      <c r="U119" s="15"/>
      <c r="V119" s="15"/>
      <c r="W119" s="15"/>
      <c r="X119" s="15"/>
      <c r="Y119" s="15"/>
      <c r="AL119" s="15"/>
    </row>
    <row r="120" spans="1:38" x14ac:dyDescent="0.15">
      <c r="N120" s="15"/>
      <c r="O120" s="15"/>
      <c r="P120" s="15"/>
      <c r="Q120" s="15"/>
      <c r="R120" s="15"/>
      <c r="S120" s="15"/>
      <c r="T120" s="15"/>
      <c r="U120" s="15"/>
      <c r="V120" s="15"/>
      <c r="W120" s="15"/>
      <c r="X120" s="15"/>
      <c r="Y120" s="15"/>
      <c r="AL120" s="15"/>
    </row>
    <row r="121" spans="1:38" x14ac:dyDescent="0.15">
      <c r="A121" s="54"/>
      <c r="N121" s="15"/>
      <c r="O121" s="15"/>
      <c r="P121" s="15"/>
      <c r="Q121" s="15"/>
      <c r="R121" s="15"/>
      <c r="S121" s="15"/>
      <c r="T121" s="15"/>
      <c r="U121" s="15"/>
      <c r="V121" s="15"/>
      <c r="W121" s="15"/>
      <c r="X121" s="15"/>
      <c r="Y121" s="15"/>
      <c r="AL121" s="15"/>
    </row>
    <row r="122" spans="1:38" x14ac:dyDescent="0.15">
      <c r="A122" s="54"/>
      <c r="N122" s="15"/>
      <c r="O122" s="15"/>
      <c r="P122" s="15"/>
      <c r="Q122" s="15"/>
      <c r="R122" s="15"/>
      <c r="S122" s="15"/>
      <c r="T122" s="15"/>
      <c r="U122" s="15"/>
      <c r="V122" s="15"/>
      <c r="W122" s="15"/>
      <c r="X122" s="15"/>
      <c r="Y122" s="15"/>
      <c r="AL122" s="15"/>
    </row>
  </sheetData>
  <sheetProtection password="ED84" sheet="1" objects="1" scenarios="1" formatCells="0" formatColumns="0" formatRows="0"/>
  <mergeCells count="21">
    <mergeCell ref="AP2:AT2"/>
    <mergeCell ref="N1:R1"/>
    <mergeCell ref="AJ3:AN3"/>
    <mergeCell ref="AP3:AT3"/>
    <mergeCell ref="AP1:AT1"/>
    <mergeCell ref="Y1:AC1"/>
    <mergeCell ref="AJ1:AN1"/>
    <mergeCell ref="T1:X1"/>
    <mergeCell ref="T3:X3"/>
    <mergeCell ref="T2:X2"/>
    <mergeCell ref="Y2:AC2"/>
    <mergeCell ref="AJ2:AN2"/>
    <mergeCell ref="AE1:AI1"/>
    <mergeCell ref="AE2:AI2"/>
    <mergeCell ref="A1:A4"/>
    <mergeCell ref="B2:F2"/>
    <mergeCell ref="H2:L2"/>
    <mergeCell ref="N2:R2"/>
    <mergeCell ref="N3:R3"/>
    <mergeCell ref="B1:F1"/>
    <mergeCell ref="H1:L1"/>
  </mergeCells>
  <phoneticPr fontId="0" type="noConversion"/>
  <printOptions horizontalCentered="1" verticalCentered="1" headings="1" gridLines="1"/>
  <pageMargins left="0" right="0" top="0" bottom="0" header="0" footer="0"/>
  <pageSetup scale="75" orientation="landscape" horizontalDpi="300" verticalDpi="300" r:id="rId1"/>
  <headerFooter alignWithMargins="0"/>
  <colBreaks count="1" manualBreakCount="1">
    <brk id="13" max="1048575"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R35"/>
  <sheetViews>
    <sheetView showGridLines="0" workbookViewId="0">
      <selection activeCell="A12" sqref="A12"/>
    </sheetView>
  </sheetViews>
  <sheetFormatPr baseColWidth="10" defaultColWidth="9.1640625" defaultRowHeight="13" x14ac:dyDescent="0.15"/>
  <cols>
    <col min="1" max="1" width="10.33203125" style="102" customWidth="1"/>
    <col min="2" max="2" width="13.6640625" style="102" customWidth="1"/>
    <col min="3" max="3" width="10.83203125" style="102" customWidth="1"/>
    <col min="4" max="4" width="13.33203125" style="102" customWidth="1"/>
    <col min="5" max="5" width="10.1640625" style="102" customWidth="1"/>
    <col min="6" max="6" width="9.6640625" style="102" customWidth="1"/>
    <col min="7" max="7" width="10.6640625" style="102" customWidth="1"/>
    <col min="8" max="8" width="0.33203125" style="102" customWidth="1"/>
    <col min="9" max="9" width="15.5" style="102" customWidth="1"/>
    <col min="10" max="10" width="11" style="102" customWidth="1"/>
    <col min="11" max="11" width="11.5" style="102" customWidth="1"/>
    <col min="12" max="12" width="2.6640625" style="102" customWidth="1"/>
    <col min="13" max="13" width="12.33203125" style="174" customWidth="1"/>
    <col min="14" max="14" width="3.1640625" style="174" customWidth="1"/>
    <col min="15" max="15" width="11" style="102" customWidth="1"/>
    <col min="16" max="16" width="2.1640625" style="102" customWidth="1"/>
    <col min="17" max="17" width="10" style="102" customWidth="1"/>
    <col min="18" max="18" width="4.5" style="102" customWidth="1"/>
    <col min="19" max="16384" width="9.1640625" style="102"/>
  </cols>
  <sheetData>
    <row r="1" spans="1:18" ht="19" thickBot="1" x14ac:dyDescent="0.25">
      <c r="A1" s="435" t="str">
        <f>CONCATENATE("DUPONT TREE:  ",COMPANY.A," vs. ",COMPANY.B)</f>
        <v>DUPONT TREE:  ELIZABETH ARDEN INC vs. ESTEE LAUDER COMPANIES INC</v>
      </c>
      <c r="B1" s="435"/>
      <c r="C1" s="435"/>
      <c r="D1" s="435"/>
      <c r="E1" s="435"/>
      <c r="F1" s="435"/>
      <c r="G1" s="435"/>
      <c r="H1" s="435"/>
      <c r="I1" s="435"/>
      <c r="J1" s="435"/>
      <c r="K1" s="435"/>
      <c r="L1" s="435"/>
      <c r="M1" s="435"/>
      <c r="N1" s="435"/>
      <c r="O1" s="435"/>
      <c r="P1" s="435"/>
      <c r="Q1" s="435"/>
      <c r="R1" s="435"/>
    </row>
    <row r="2" spans="1:18" ht="7.5" customHeight="1" x14ac:dyDescent="0.15">
      <c r="A2" s="103"/>
      <c r="B2" s="104"/>
      <c r="C2" s="104"/>
      <c r="D2" s="104"/>
      <c r="E2" s="104"/>
      <c r="F2" s="104"/>
      <c r="G2" s="104"/>
      <c r="H2" s="104"/>
      <c r="I2" s="104"/>
      <c r="J2" s="104"/>
      <c r="K2" s="104"/>
      <c r="L2" s="104"/>
      <c r="M2" s="105"/>
      <c r="N2" s="105"/>
      <c r="O2" s="104"/>
      <c r="P2" s="104"/>
      <c r="Q2" s="104"/>
      <c r="R2" s="104"/>
    </row>
    <row r="3" spans="1:18" ht="16.5" customHeight="1" thickBot="1" x14ac:dyDescent="0.25">
      <c r="A3" s="103"/>
      <c r="B3" s="106" t="s">
        <v>61</v>
      </c>
      <c r="C3" s="107"/>
      <c r="D3" s="104"/>
      <c r="E3" s="104"/>
      <c r="F3" s="104"/>
      <c r="G3" s="104"/>
      <c r="H3" s="104"/>
      <c r="I3" s="108" t="s">
        <v>62</v>
      </c>
      <c r="J3" s="103"/>
      <c r="K3" s="436">
        <f>CurrentYear-K4+1</f>
        <v>1</v>
      </c>
      <c r="L3" s="436"/>
      <c r="M3" s="436"/>
      <c r="N3" s="104"/>
      <c r="O3" s="109">
        <f>CurrentYear</f>
        <v>2015</v>
      </c>
      <c r="P3" s="104"/>
      <c r="Q3" s="104"/>
      <c r="R3" s="104"/>
    </row>
    <row r="4" spans="1:18" ht="17.25" customHeight="1" thickBot="1" x14ac:dyDescent="0.25">
      <c r="A4" s="103"/>
      <c r="B4" s="110" t="str">
        <f>COMPANY.A</f>
        <v>ELIZABETH ARDEN INC</v>
      </c>
      <c r="C4" s="111"/>
      <c r="D4" s="104"/>
      <c r="E4" s="104"/>
      <c r="F4" s="104"/>
      <c r="G4" s="104"/>
      <c r="H4" s="104"/>
      <c r="I4" s="112">
        <f>INDEX(SourceData ROE,0,Year)</f>
        <v>-1.8604823299269633</v>
      </c>
      <c r="J4" s="103"/>
      <c r="K4" s="437">
        <f>CurrentYear</f>
        <v>2015</v>
      </c>
      <c r="L4" s="438"/>
      <c r="M4" s="439"/>
      <c r="N4" s="113"/>
      <c r="O4" s="109">
        <f>CurrentYear-1</f>
        <v>2014</v>
      </c>
      <c r="P4" s="104"/>
      <c r="Q4" s="104"/>
      <c r="R4" s="104"/>
    </row>
    <row r="5" spans="1:18" ht="16.5" customHeight="1" x14ac:dyDescent="0.15">
      <c r="A5" s="103"/>
      <c r="B5" s="114" t="str">
        <f>COMPANY.B</f>
        <v>ESTEE LAUDER COMPANIES INC</v>
      </c>
      <c r="C5" s="115"/>
      <c r="D5" s="104"/>
      <c r="E5" s="104"/>
      <c r="F5" s="104"/>
      <c r="G5" s="104"/>
      <c r="H5" s="104"/>
      <c r="I5" s="116">
        <f>INDEX(SourceData ROE,0,Year+6)</f>
        <v>0.29888559508124707</v>
      </c>
      <c r="J5" s="104"/>
      <c r="K5" s="104"/>
      <c r="L5" s="104"/>
      <c r="M5" s="105"/>
      <c r="N5" s="105"/>
      <c r="O5" s="109">
        <f>CurrentYear-2</f>
        <v>2013</v>
      </c>
      <c r="P5" s="104"/>
      <c r="Q5" s="104"/>
      <c r="R5" s="104"/>
    </row>
    <row r="6" spans="1:18" ht="16.5" customHeight="1" x14ac:dyDescent="0.15">
      <c r="A6" s="104"/>
      <c r="B6" s="104"/>
      <c r="C6" s="104"/>
      <c r="D6" s="104"/>
      <c r="E6" s="104"/>
      <c r="F6" s="440" t="s">
        <v>63</v>
      </c>
      <c r="G6" s="441"/>
      <c r="H6" s="104"/>
      <c r="I6" s="104"/>
      <c r="J6" s="104"/>
      <c r="K6" s="104"/>
      <c r="L6" s="104"/>
      <c r="M6" s="105"/>
      <c r="N6" s="105"/>
      <c r="O6" s="109">
        <f>CurrentYear-3</f>
        <v>2012</v>
      </c>
      <c r="P6" s="104"/>
      <c r="Q6" s="104"/>
      <c r="R6" s="104"/>
    </row>
    <row r="7" spans="1:18" ht="16.5" customHeight="1" x14ac:dyDescent="0.15">
      <c r="A7" s="104"/>
      <c r="B7" s="104"/>
      <c r="C7" s="104"/>
      <c r="D7" s="104"/>
      <c r="E7" s="104"/>
      <c r="F7" s="431">
        <f>INDEX(SourceData ROA,0,Year)</f>
        <v>-0.30290055384494308</v>
      </c>
      <c r="G7" s="432"/>
      <c r="H7" s="104"/>
      <c r="I7" s="104"/>
      <c r="J7" s="104"/>
      <c r="K7" s="104"/>
      <c r="L7" s="104"/>
      <c r="M7" s="105"/>
      <c r="N7" s="105"/>
      <c r="O7" s="109">
        <f>CurrentYear-4</f>
        <v>2011</v>
      </c>
      <c r="P7" s="104"/>
      <c r="Q7" s="104"/>
      <c r="R7" s="104"/>
    </row>
    <row r="8" spans="1:18" x14ac:dyDescent="0.15">
      <c r="A8" s="104"/>
      <c r="B8" s="104"/>
      <c r="C8" s="104"/>
      <c r="D8" s="117" t="s">
        <v>64</v>
      </c>
      <c r="E8" s="118"/>
      <c r="F8" s="433">
        <f>INDEX(SourceData ROA,0,Year+6)</f>
        <v>0.13216088940673842</v>
      </c>
      <c r="G8" s="434"/>
      <c r="H8" s="103"/>
      <c r="I8" s="119" t="s">
        <v>65</v>
      </c>
      <c r="J8" s="104"/>
      <c r="K8" s="104"/>
      <c r="L8" s="118"/>
      <c r="M8" s="120" t="s">
        <v>66</v>
      </c>
      <c r="N8" s="113"/>
      <c r="O8" s="440" t="s">
        <v>102</v>
      </c>
      <c r="P8" s="441"/>
      <c r="Q8" s="104"/>
      <c r="R8" s="104"/>
    </row>
    <row r="9" spans="1:18" ht="16.5" customHeight="1" x14ac:dyDescent="0.15">
      <c r="A9" s="104"/>
      <c r="B9" s="104"/>
      <c r="C9" s="104"/>
      <c r="D9" s="121">
        <f>INDEX(SourceData NPM,0,Year)</f>
        <v>-0.25365720040613821</v>
      </c>
      <c r="E9" s="122"/>
      <c r="F9" s="104"/>
      <c r="G9" s="104"/>
      <c r="H9" s="104"/>
      <c r="I9" s="302">
        <f>INDEX(SourceData TAT,0,Year)</f>
        <v>1.1941334736800684</v>
      </c>
      <c r="J9" s="104"/>
      <c r="K9" s="104"/>
      <c r="L9" s="123"/>
      <c r="M9" s="121">
        <f>INDEX(SourceData DebtRatio,0,Year)</f>
        <v>0.77040520201076212</v>
      </c>
      <c r="N9" s="113"/>
      <c r="O9" s="427">
        <f>INDEX(SourceData EquityMultiplier,0,Year)</f>
        <v>6.1422216179880511</v>
      </c>
      <c r="P9" s="428"/>
      <c r="Q9" s="104"/>
      <c r="R9" s="104"/>
    </row>
    <row r="10" spans="1:18" ht="16.5" customHeight="1" x14ac:dyDescent="0.15">
      <c r="A10" s="104"/>
      <c r="B10" s="104"/>
      <c r="C10" s="104"/>
      <c r="D10" s="124">
        <f>INDEX(SourceData NPM,0,Year+6)</f>
        <v>0.10100738377054648</v>
      </c>
      <c r="E10" s="125"/>
      <c r="F10" s="126"/>
      <c r="G10" s="126"/>
      <c r="H10" s="103"/>
      <c r="I10" s="303">
        <f>INDEX(SourceData TAT,0,Year+6)</f>
        <v>1.3084280027187107</v>
      </c>
      <c r="J10" s="104"/>
      <c r="K10" s="104"/>
      <c r="L10" s="127"/>
      <c r="M10" s="124">
        <f>INDEX(SourceData DebtRatio,0,Year+6)</f>
        <v>0.55647392950771934</v>
      </c>
      <c r="N10" s="113"/>
      <c r="O10" s="429">
        <f>INDEX(SourceData EquityMultiplier,0,Year+6)</f>
        <v>2.2615283267457178</v>
      </c>
      <c r="P10" s="430"/>
      <c r="Q10" s="104"/>
      <c r="R10" s="104"/>
    </row>
    <row r="11" spans="1:18" ht="15.75" customHeight="1" x14ac:dyDescent="0.15">
      <c r="A11" s="104"/>
      <c r="B11" s="104"/>
      <c r="C11" s="104"/>
      <c r="D11" s="104"/>
      <c r="E11" s="104"/>
      <c r="F11" s="104"/>
      <c r="G11" s="104"/>
      <c r="H11" s="104"/>
      <c r="I11" s="104"/>
      <c r="J11" s="104"/>
      <c r="K11" s="104"/>
      <c r="L11" s="104"/>
      <c r="M11" s="105"/>
      <c r="N11" s="105"/>
      <c r="O11" s="104"/>
      <c r="P11" s="104"/>
      <c r="Q11" s="104"/>
      <c r="R11" s="104"/>
    </row>
    <row r="12" spans="1:18" ht="15.75" customHeight="1" x14ac:dyDescent="0.15">
      <c r="A12" s="104"/>
      <c r="B12" s="104"/>
      <c r="C12" s="104"/>
      <c r="D12" s="104"/>
      <c r="E12" s="104"/>
      <c r="F12" s="104"/>
      <c r="G12" s="104"/>
      <c r="H12" s="104"/>
      <c r="I12" s="104"/>
      <c r="J12" s="104"/>
      <c r="K12" s="104"/>
      <c r="L12" s="104"/>
      <c r="M12" s="105"/>
      <c r="N12" s="105"/>
      <c r="O12" s="104"/>
      <c r="P12" s="104"/>
      <c r="Q12" s="104"/>
      <c r="R12" s="104"/>
    </row>
    <row r="13" spans="1:18" ht="15" customHeight="1" x14ac:dyDescent="0.15">
      <c r="A13" s="104"/>
      <c r="B13" s="104"/>
      <c r="C13" s="128" t="s">
        <v>67</v>
      </c>
      <c r="D13" s="104"/>
      <c r="E13" s="104"/>
      <c r="F13" s="128" t="s">
        <v>68</v>
      </c>
      <c r="G13" s="118"/>
      <c r="H13" s="104"/>
      <c r="I13" s="104"/>
      <c r="J13" s="129" t="s">
        <v>69</v>
      </c>
      <c r="K13" s="103"/>
      <c r="L13" s="130"/>
      <c r="M13" s="128" t="s">
        <v>70</v>
      </c>
      <c r="N13" s="113"/>
      <c r="O13" s="104"/>
      <c r="P13" s="104"/>
      <c r="Q13" s="128" t="s">
        <v>71</v>
      </c>
      <c r="R13" s="103"/>
    </row>
    <row r="14" spans="1:18" ht="3" customHeight="1" x14ac:dyDescent="0.15">
      <c r="A14" s="104"/>
      <c r="B14" s="104"/>
      <c r="C14" s="131"/>
      <c r="D14" s="103"/>
      <c r="E14" s="132"/>
      <c r="F14" s="131"/>
      <c r="G14" s="133"/>
      <c r="H14" s="134"/>
      <c r="I14" s="134"/>
      <c r="J14" s="131"/>
      <c r="K14" s="132"/>
      <c r="L14" s="135"/>
      <c r="M14" s="131"/>
      <c r="N14" s="136"/>
      <c r="O14" s="134"/>
      <c r="P14" s="134"/>
      <c r="Q14" s="131"/>
      <c r="R14" s="103"/>
    </row>
    <row r="15" spans="1:18" ht="3" customHeight="1" x14ac:dyDescent="0.15">
      <c r="A15" s="104"/>
      <c r="B15" s="104"/>
      <c r="C15" s="137"/>
      <c r="D15" s="103"/>
      <c r="E15" s="138"/>
      <c r="F15" s="137"/>
      <c r="G15" s="139"/>
      <c r="H15" s="140"/>
      <c r="I15" s="140"/>
      <c r="J15" s="137"/>
      <c r="K15" s="140"/>
      <c r="L15" s="140"/>
      <c r="M15" s="137"/>
      <c r="N15" s="140"/>
      <c r="O15" s="140"/>
      <c r="P15" s="140"/>
      <c r="Q15" s="137"/>
      <c r="R15" s="103"/>
    </row>
    <row r="16" spans="1:18" ht="12.75" customHeight="1" x14ac:dyDescent="0.15">
      <c r="A16" s="104"/>
      <c r="B16" s="104"/>
      <c r="C16" s="104"/>
      <c r="D16" s="104"/>
      <c r="E16" s="104"/>
      <c r="F16" s="104"/>
      <c r="G16" s="104"/>
      <c r="H16" s="104"/>
      <c r="I16" s="104"/>
      <c r="J16" s="104"/>
      <c r="K16" s="104"/>
      <c r="L16" s="104"/>
      <c r="M16" s="105"/>
      <c r="N16" s="105"/>
      <c r="O16" s="103"/>
      <c r="P16" s="118"/>
      <c r="Q16" s="104"/>
      <c r="R16" s="104"/>
    </row>
    <row r="17" spans="1:18" ht="12.75" customHeight="1" x14ac:dyDescent="0.15">
      <c r="A17" s="104"/>
      <c r="B17" s="104"/>
      <c r="C17" s="104"/>
      <c r="D17" s="104"/>
      <c r="E17" s="104"/>
      <c r="F17" s="104"/>
      <c r="G17" s="104"/>
      <c r="H17" s="104"/>
      <c r="I17" s="104"/>
      <c r="J17" s="104"/>
      <c r="K17" s="104"/>
      <c r="L17" s="104"/>
      <c r="M17" s="105"/>
      <c r="N17" s="105"/>
      <c r="O17" s="103"/>
      <c r="P17" s="118"/>
      <c r="Q17" s="104"/>
      <c r="R17" s="104"/>
    </row>
    <row r="18" spans="1:18" ht="22" x14ac:dyDescent="0.15">
      <c r="A18" s="141" t="s">
        <v>72</v>
      </c>
      <c r="B18" s="142" t="s">
        <v>73</v>
      </c>
      <c r="C18" s="143" t="s">
        <v>74</v>
      </c>
      <c r="D18" s="144" t="s">
        <v>88</v>
      </c>
      <c r="E18" s="145" t="s">
        <v>11</v>
      </c>
      <c r="F18" s="145" t="s">
        <v>68</v>
      </c>
      <c r="G18" s="130"/>
      <c r="H18" s="103"/>
      <c r="I18" s="145" t="s">
        <v>75</v>
      </c>
      <c r="J18" s="103"/>
      <c r="K18" s="145" t="s">
        <v>113</v>
      </c>
      <c r="L18" s="103"/>
      <c r="M18" s="145" t="s">
        <v>76</v>
      </c>
      <c r="N18" s="113"/>
      <c r="O18" s="145" t="s">
        <v>77</v>
      </c>
      <c r="P18" s="103"/>
      <c r="Q18" s="145" t="s">
        <v>78</v>
      </c>
      <c r="R18" s="103"/>
    </row>
    <row r="19" spans="1:18" ht="16.5" customHeight="1" x14ac:dyDescent="0.15">
      <c r="A19" s="146">
        <f>INDEX(CommonSize COGS,0,Year)</f>
        <v>0.64097135407548977</v>
      </c>
      <c r="B19" s="146">
        <f>INDEX(CommonSize OperatingExpenses,0,Year)</f>
        <v>0.51179592584888445</v>
      </c>
      <c r="C19" s="146">
        <f>INDEX(CommonSize Interest,0,Year)</f>
        <v>3.050773454378446E-2</v>
      </c>
      <c r="D19" s="146">
        <f>INDEX(CommonSize NonOperatingExpense,0,Year)</f>
        <v>2.461131626262231E-4</v>
      </c>
      <c r="E19" s="146">
        <f>INDEX(CommonSize Taxes,0,Year)</f>
        <v>6.4844124897796103E-3</v>
      </c>
      <c r="F19" s="147">
        <f>INDEX(CommonSize Sales,0,Year)</f>
        <v>1</v>
      </c>
      <c r="G19" s="148"/>
      <c r="H19" s="104"/>
      <c r="I19" s="147">
        <f>INDEX(CommonSize2 CurrentAssets,0,Year)</f>
        <v>0.52125859541774466</v>
      </c>
      <c r="J19" s="103"/>
      <c r="K19" s="147">
        <f>INDEX(CommonSize2 TotalAssets,0,Year)-INDEX(CommonSize2 CurrentAssets,0,Year)</f>
        <v>0.47874140458225534</v>
      </c>
      <c r="L19" s="103"/>
      <c r="M19" s="147">
        <f>INDEX(CommonSize2 CurrentLiabilities,0,Year)</f>
        <v>0.26558119288166604</v>
      </c>
      <c r="N19" s="113"/>
      <c r="O19" s="147">
        <f>1-(INDEX(CommonSize2 CurrentLiabilities,0,Year)+INDEX(CommonSize2 CommonEquity,0,Year))</f>
        <v>0.57161126577671095</v>
      </c>
      <c r="P19" s="103"/>
      <c r="Q19" s="147">
        <f>INDEX(CommonSize2 CommonEquity,0,Year)</f>
        <v>0.16280754134162298</v>
      </c>
      <c r="R19" s="103"/>
    </row>
    <row r="20" spans="1:18" ht="16.5" customHeight="1" x14ac:dyDescent="0.15">
      <c r="A20" s="149">
        <f>INDEX(CommonSize COGS,0,Year+6)</f>
        <v>0.19485362324218025</v>
      </c>
      <c r="B20" s="149">
        <f>INDEX(CommonSize OperatingExpenses,0,Year+6)</f>
        <v>0.65614448443471485</v>
      </c>
      <c r="C20" s="149">
        <f>INDEX(CommonSize Interest,0,Year+6)</f>
        <v>4.2391747987087685E-3</v>
      </c>
      <c r="D20" s="149">
        <f>INDEX(CommonSize NonOperatingExpense,0,Year+6)</f>
        <v>0</v>
      </c>
      <c r="E20" s="149">
        <f>INDEX(CommonSize Taxes,0,Year+6)</f>
        <v>4.3337909539534709E-2</v>
      </c>
      <c r="F20" s="150">
        <f>INDEX(CommonSize Sales,0,Year+6)</f>
        <v>1</v>
      </c>
      <c r="G20" s="151"/>
      <c r="H20" s="104"/>
      <c r="I20" s="150">
        <f>INDEX(CommonSize2 CurrentAssets,0,Year+6)</f>
        <v>0.5423463443052724</v>
      </c>
      <c r="J20" s="113"/>
      <c r="K20" s="150">
        <f>INDEX(CommonSize2 TotalAssets,0,Year+6)-INDEX(CommonSize2 CurrentAssets,0,Year+6)</f>
        <v>0.4576536556947276</v>
      </c>
      <c r="L20" s="113"/>
      <c r="M20" s="150">
        <f>INDEX(CommonSize2 CurrentLiabilities,0,Year+6)</f>
        <v>0.25919992232255568</v>
      </c>
      <c r="N20" s="113"/>
      <c r="O20" s="150">
        <f>1-(INDEX(CommonSize2 CurrentLiabilities,0,Year+6)+INDEX(CommonSize2 CommonEquity,0,Year+6))</f>
        <v>0.29862122536168545</v>
      </c>
      <c r="P20" s="113"/>
      <c r="Q20" s="150">
        <f>INDEX(CommonSize2 CommonEquity,0,Year+6)</f>
        <v>0.44217885231575887</v>
      </c>
      <c r="R20" s="103"/>
    </row>
    <row r="21" spans="1:18" x14ac:dyDescent="0.15">
      <c r="A21" s="104"/>
      <c r="B21" s="104"/>
      <c r="C21" s="104"/>
      <c r="D21" s="104"/>
      <c r="E21" s="104"/>
      <c r="F21" s="104"/>
      <c r="G21" s="104"/>
      <c r="H21" s="104"/>
      <c r="I21" s="104"/>
      <c r="J21" s="104"/>
      <c r="K21" s="104"/>
      <c r="L21" s="104"/>
      <c r="M21" s="105"/>
      <c r="N21" s="105"/>
      <c r="O21" s="104"/>
      <c r="P21" s="104"/>
      <c r="Q21" s="104"/>
      <c r="R21" s="104"/>
    </row>
    <row r="22" spans="1:18" x14ac:dyDescent="0.15">
      <c r="A22" s="104"/>
      <c r="B22" s="104"/>
      <c r="C22" s="104"/>
      <c r="D22" s="104"/>
      <c r="E22" s="152"/>
      <c r="F22" s="104"/>
      <c r="G22" s="104"/>
      <c r="H22" s="104"/>
      <c r="I22" s="104"/>
      <c r="J22" s="104"/>
      <c r="K22" s="104"/>
      <c r="L22" s="104"/>
      <c r="M22" s="105"/>
      <c r="N22" s="105"/>
      <c r="O22" s="104"/>
      <c r="P22" s="104"/>
      <c r="Q22" s="104"/>
      <c r="R22" s="104"/>
    </row>
    <row r="23" spans="1:18" x14ac:dyDescent="0.15">
      <c r="A23" s="103"/>
      <c r="B23" s="118"/>
      <c r="C23" s="103"/>
      <c r="D23" s="132"/>
      <c r="E23" s="153"/>
      <c r="F23" s="103"/>
      <c r="G23" s="154" t="s">
        <v>79</v>
      </c>
      <c r="H23" s="103"/>
      <c r="I23" s="155" t="s">
        <v>94</v>
      </c>
      <c r="J23" s="156" t="s">
        <v>80</v>
      </c>
      <c r="K23" s="157" t="s">
        <v>81</v>
      </c>
      <c r="L23" s="113"/>
      <c r="M23" s="157" t="s">
        <v>82</v>
      </c>
      <c r="N23" s="113"/>
      <c r="O23" s="157" t="s">
        <v>83</v>
      </c>
      <c r="P23" s="113"/>
      <c r="Q23" s="157" t="s">
        <v>84</v>
      </c>
      <c r="R23" s="103"/>
    </row>
    <row r="24" spans="1:18" ht="16.5" customHeight="1" x14ac:dyDescent="0.15">
      <c r="A24" s="103"/>
      <c r="B24" s="158"/>
      <c r="C24" s="159"/>
      <c r="D24" s="138"/>
      <c r="E24" s="160"/>
      <c r="F24" s="159"/>
      <c r="G24" s="161">
        <f>INDEX(SourceData CashCycle,0,Year)</f>
        <v>126.43193036224429</v>
      </c>
      <c r="H24" s="103"/>
      <c r="I24" s="162">
        <f>INDEX(SourceData InventoryPeriod,0,Year)</f>
        <v>141.1690331370111</v>
      </c>
      <c r="J24" s="163">
        <f>INDEX(SourceData DSO,0,Year)</f>
        <v>39.621243170102296</v>
      </c>
      <c r="K24" s="304">
        <f>INDEX(SourceData FAT,0,Year)</f>
        <v>2.4943183569469132</v>
      </c>
      <c r="L24" s="118"/>
      <c r="M24" s="304">
        <f>INDEX(SourceData CurrentRatio,0,Year)</f>
        <v>1.9627089921612024</v>
      </c>
      <c r="N24" s="118"/>
      <c r="O24" s="304">
        <f>INDEX(SourceData TIE,0,Year)</f>
        <v>-6.3837507594680352</v>
      </c>
      <c r="P24" s="118"/>
      <c r="Q24" s="304">
        <f>INDEX(SourceData PERatio,0,Year)</f>
        <v>-1.8052324155793542</v>
      </c>
      <c r="R24" s="103"/>
    </row>
    <row r="25" spans="1:18" ht="16.5" customHeight="1" x14ac:dyDescent="0.15">
      <c r="A25" s="103"/>
      <c r="B25" s="164"/>
      <c r="C25" s="165"/>
      <c r="D25" s="166"/>
      <c r="E25" s="166"/>
      <c r="F25" s="165"/>
      <c r="G25" s="167">
        <f>INDEX(SourceData CashCycle,0,Year+6)</f>
        <v>140.61615104339157</v>
      </c>
      <c r="H25" s="103"/>
      <c r="I25" s="168">
        <f>INDEX(SourceData InventoryPeriod,0,Year+6)</f>
        <v>211.25725983052462</v>
      </c>
      <c r="J25" s="169">
        <f>INDEX(SourceData DSO,0,Year+6)</f>
        <v>39.765917776705876</v>
      </c>
      <c r="K25" s="305">
        <f>INDEX(SourceData FAT,0,Year+6)</f>
        <v>2.8589916991540041</v>
      </c>
      <c r="L25" s="118"/>
      <c r="M25" s="305">
        <f>INDEX(SourceData CurrentRatio,0,Year+6)</f>
        <v>2.0923862146469374</v>
      </c>
      <c r="N25" s="118"/>
      <c r="O25" s="305">
        <f>INDEX(SourceData TIE,0,Year+6)</f>
        <v>35.148796498905888</v>
      </c>
      <c r="P25" s="118"/>
      <c r="Q25" s="305">
        <f>INDEX(SourceData PERatio,0,Year+6)</f>
        <v>28.591187436862914</v>
      </c>
      <c r="R25" s="103"/>
    </row>
    <row r="26" spans="1:18" ht="8.75" customHeight="1" x14ac:dyDescent="0.15">
      <c r="A26" s="104"/>
      <c r="B26" s="104"/>
      <c r="C26" s="104"/>
      <c r="D26" s="104"/>
      <c r="E26" s="104"/>
      <c r="F26" s="104"/>
      <c r="G26" s="104"/>
      <c r="H26" s="104"/>
      <c r="I26" s="104"/>
      <c r="J26" s="104"/>
      <c r="K26" s="104"/>
      <c r="L26" s="104"/>
      <c r="M26" s="113"/>
      <c r="N26" s="130"/>
      <c r="O26" s="104"/>
      <c r="P26" s="104"/>
      <c r="Q26" s="104"/>
      <c r="R26" s="104"/>
    </row>
    <row r="27" spans="1:18" ht="8.75" customHeight="1" x14ac:dyDescent="0.15">
      <c r="A27" s="104"/>
      <c r="B27" s="104"/>
      <c r="C27" s="104"/>
      <c r="D27" s="104"/>
      <c r="E27" s="104"/>
      <c r="F27" s="104"/>
      <c r="G27" s="104"/>
      <c r="H27" s="104"/>
      <c r="I27" s="104"/>
      <c r="J27" s="104"/>
      <c r="K27" s="104"/>
      <c r="L27" s="104"/>
      <c r="M27" s="113"/>
      <c r="N27" s="130"/>
      <c r="O27" s="104"/>
      <c r="P27" s="104"/>
      <c r="Q27" s="104"/>
      <c r="R27" s="104"/>
    </row>
    <row r="28" spans="1:18" x14ac:dyDescent="0.15">
      <c r="A28" s="104"/>
      <c r="B28" s="104"/>
      <c r="C28" s="104"/>
      <c r="D28" s="104"/>
      <c r="E28" s="104"/>
      <c r="F28" s="104"/>
      <c r="G28" s="104"/>
      <c r="H28" s="104"/>
      <c r="I28" s="104"/>
      <c r="J28" s="104"/>
      <c r="K28" s="104"/>
      <c r="L28" s="104"/>
      <c r="M28" s="157" t="s">
        <v>85</v>
      </c>
      <c r="N28" s="113"/>
      <c r="O28" s="157" t="s">
        <v>86</v>
      </c>
      <c r="P28" s="113"/>
      <c r="Q28" s="157" t="s">
        <v>87</v>
      </c>
      <c r="R28" s="103"/>
    </row>
    <row r="29" spans="1:18" ht="16.5" customHeight="1" x14ac:dyDescent="0.15">
      <c r="A29" s="104"/>
      <c r="B29" s="104"/>
      <c r="C29" s="104"/>
      <c r="D29" s="104"/>
      <c r="E29" s="104"/>
      <c r="F29" s="104"/>
      <c r="G29" s="104"/>
      <c r="H29" s="104"/>
      <c r="I29" s="104"/>
      <c r="J29" s="104"/>
      <c r="K29" s="104"/>
      <c r="L29" s="104"/>
      <c r="M29" s="304">
        <f>INDEX(SourceData QuickRatio,0,Year)</f>
        <v>0.84805326493098798</v>
      </c>
      <c r="N29" s="118"/>
      <c r="O29" s="170">
        <f>INDEX(CommonSize EBIT,0,Year)</f>
        <v>-0.19475377356353324</v>
      </c>
      <c r="P29" s="118"/>
      <c r="Q29" s="304">
        <f>INDEX(SourceData MBRatio,0,Year)</f>
        <v>3.3586030105967568</v>
      </c>
      <c r="R29" s="103"/>
    </row>
    <row r="30" spans="1:18" ht="16.5" customHeight="1" x14ac:dyDescent="0.15">
      <c r="A30" s="104"/>
      <c r="B30" s="104"/>
      <c r="C30" s="104"/>
      <c r="D30" s="104"/>
      <c r="E30" s="104"/>
      <c r="F30" s="104"/>
      <c r="G30" s="104"/>
      <c r="H30" s="104"/>
      <c r="I30" s="104"/>
      <c r="J30" s="104"/>
      <c r="K30" s="104"/>
      <c r="L30" s="104"/>
      <c r="M30" s="305">
        <f>INDEX(SourceData QuickRatio,0,Year+6)</f>
        <v>1.5230848473496905</v>
      </c>
      <c r="N30" s="118"/>
      <c r="O30" s="171">
        <f>INDEX(CommonSize EBIT,0,Year+6)</f>
        <v>0.14900189232310485</v>
      </c>
      <c r="P30" s="118"/>
      <c r="Q30" s="305">
        <f>INDEX(SourceData MBRatio,0,Year+6)</f>
        <v>8.5454940711462459</v>
      </c>
      <c r="R30" s="103"/>
    </row>
    <row r="31" spans="1:18" x14ac:dyDescent="0.15">
      <c r="A31" s="104"/>
      <c r="B31" s="104"/>
      <c r="C31" s="104"/>
      <c r="D31" s="104"/>
      <c r="E31" s="104"/>
      <c r="F31" s="104"/>
      <c r="G31" s="104"/>
      <c r="H31" s="104"/>
      <c r="I31" s="104"/>
      <c r="J31" s="104"/>
      <c r="K31" s="104"/>
      <c r="L31" s="104"/>
      <c r="M31" s="105"/>
      <c r="N31" s="105"/>
      <c r="O31" s="104"/>
      <c r="P31" s="104"/>
      <c r="Q31" s="104"/>
      <c r="R31" s="104"/>
    </row>
    <row r="32" spans="1:18" x14ac:dyDescent="0.15">
      <c r="A32" s="104"/>
      <c r="B32" s="104"/>
      <c r="C32" s="104"/>
      <c r="D32" s="104"/>
      <c r="E32" s="104"/>
      <c r="F32" s="104"/>
      <c r="G32" s="104"/>
      <c r="H32" s="172"/>
      <c r="I32" s="104"/>
      <c r="J32" s="104"/>
      <c r="K32" s="104"/>
      <c r="L32" s="104"/>
      <c r="M32" s="105"/>
      <c r="N32" s="105"/>
      <c r="O32" s="104"/>
      <c r="P32" s="104"/>
      <c r="Q32" s="104"/>
      <c r="R32" s="104"/>
    </row>
    <row r="33" spans="1:18" x14ac:dyDescent="0.15">
      <c r="A33" s="104"/>
      <c r="B33" s="104"/>
      <c r="C33" s="104"/>
      <c r="D33" s="104"/>
      <c r="E33" s="104"/>
      <c r="F33" s="104"/>
      <c r="G33" s="104"/>
      <c r="H33" s="130"/>
      <c r="I33" s="104"/>
      <c r="J33" s="104"/>
      <c r="K33" s="104"/>
      <c r="L33" s="104"/>
      <c r="M33" s="105"/>
      <c r="N33" s="105"/>
      <c r="O33" s="104"/>
      <c r="P33" s="104"/>
      <c r="Q33" s="104"/>
      <c r="R33" s="104"/>
    </row>
    <row r="34" spans="1:18" x14ac:dyDescent="0.15">
      <c r="A34" s="104"/>
      <c r="B34" s="104"/>
      <c r="C34" s="104"/>
      <c r="D34" s="104"/>
      <c r="E34" s="104"/>
      <c r="F34" s="104"/>
      <c r="G34" s="104"/>
      <c r="H34" s="173"/>
      <c r="I34" s="104"/>
      <c r="J34" s="104"/>
      <c r="K34" s="104"/>
      <c r="L34" s="104"/>
      <c r="M34" s="105"/>
      <c r="N34" s="105"/>
      <c r="O34" s="104"/>
      <c r="P34" s="104"/>
      <c r="Q34" s="104"/>
      <c r="R34" s="104"/>
    </row>
    <row r="35" spans="1:18" x14ac:dyDescent="0.15">
      <c r="A35" s="104"/>
      <c r="B35" s="104"/>
      <c r="C35" s="104"/>
      <c r="D35" s="104"/>
      <c r="E35" s="104"/>
      <c r="F35" s="104"/>
      <c r="G35" s="104"/>
      <c r="H35" s="172"/>
      <c r="I35" s="104"/>
      <c r="J35" s="104"/>
      <c r="K35" s="104"/>
      <c r="L35" s="104"/>
      <c r="M35" s="105"/>
      <c r="N35" s="105"/>
      <c r="O35" s="104"/>
      <c r="P35" s="104"/>
      <c r="Q35" s="104"/>
      <c r="R35" s="104"/>
    </row>
  </sheetData>
  <sheetProtection password="EDC4" sheet="1" scenarios="1" formatCells="0" formatColumns="0" formatRows="0"/>
  <mergeCells count="9">
    <mergeCell ref="O9:P9"/>
    <mergeCell ref="O10:P10"/>
    <mergeCell ref="F7:G7"/>
    <mergeCell ref="F8:G8"/>
    <mergeCell ref="A1:R1"/>
    <mergeCell ref="K3:M3"/>
    <mergeCell ref="K4:M4"/>
    <mergeCell ref="F6:G6"/>
    <mergeCell ref="O8:P8"/>
  </mergeCells>
  <phoneticPr fontId="0" type="noConversion"/>
  <conditionalFormatting sqref="D9:D10 I9:I10 M9:M10">
    <cfRule type="expression" dxfId="6" priority="3" stopIfTrue="1">
      <formula>ISERROR(D9)</formula>
    </cfRule>
  </conditionalFormatting>
  <conditionalFormatting sqref="I4:I5">
    <cfRule type="expression" dxfId="5" priority="4" stopIfTrue="1">
      <formula>ISERROR(I4)</formula>
    </cfRule>
  </conditionalFormatting>
  <conditionalFormatting sqref="F7:G8">
    <cfRule type="expression" dxfId="4" priority="5" stopIfTrue="1">
      <formula>ISERROR(F7)</formula>
    </cfRule>
  </conditionalFormatting>
  <conditionalFormatting sqref="A19:F20 I19:I20 K19:K20 M19:M20 O19:O20 Q19:Q20">
    <cfRule type="expression" dxfId="3" priority="6" stopIfTrue="1">
      <formula>ISERROR(A19)</formula>
    </cfRule>
  </conditionalFormatting>
  <conditionalFormatting sqref="G24:G25 I24:K25 M24:M25 O24:O25 M29:M30 Q24:Q25 Q29:Q30">
    <cfRule type="expression" dxfId="2" priority="7" stopIfTrue="1">
      <formula>ISERROR(G24)</formula>
    </cfRule>
  </conditionalFormatting>
  <conditionalFormatting sqref="O9:P10">
    <cfRule type="expression" dxfId="1" priority="2" stopIfTrue="1">
      <formula>ISERROR(O9)</formula>
    </cfRule>
  </conditionalFormatting>
  <conditionalFormatting sqref="O29:O30">
    <cfRule type="expression" dxfId="0" priority="1" stopIfTrue="1">
      <formula>ISERROR(O29)</formula>
    </cfRule>
  </conditionalFormatting>
  <printOptions horizontalCentered="1"/>
  <pageMargins left="0" right="0" top="1" bottom="1" header="0.5" footer="0.5"/>
  <pageSetup scale="86"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
  <sheetViews>
    <sheetView workbookViewId="0"/>
  </sheetViews>
  <sheetFormatPr baseColWidth="10" defaultColWidth="8.83203125" defaultRowHeight="13" x14ac:dyDescent="0.15"/>
  <sheetData/>
  <phoneticPr fontId="0" type="noConversion"/>
  <pageMargins left="0.75" right="0.75" top="1" bottom="1" header="0.5" footer="0.5"/>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Data From SEC</vt:lpstr>
      <vt:lpstr>Statements and Calculations</vt:lpstr>
      <vt:lpstr>DuPont Tree</vt:lpstr>
      <vt:lpstr>Charts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AVIS, YU-JUNG</dc:creator>
  <cp:lastModifiedBy>Microsoft Office User</cp:lastModifiedBy>
  <cp:lastPrinted>2009-02-12T21:02:29Z</cp:lastPrinted>
  <dcterms:created xsi:type="dcterms:W3CDTF">1999-05-21T04:40:53Z</dcterms:created>
  <dcterms:modified xsi:type="dcterms:W3CDTF">2017-02-20T23:18:11Z</dcterms:modified>
</cp:coreProperties>
</file>